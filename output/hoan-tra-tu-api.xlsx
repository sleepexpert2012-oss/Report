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Ket qua goi API" sheetId="1" state="visible" r:id="rId1"/>
    <sheet xmlns:r="http://schemas.openxmlformats.org/officeDocument/2006/relationships" name="2. Escrow - truong hoan tra" sheetId="2" state="visible" r:id="rId2"/>
    <sheet xmlns:r="http://schemas.openxmlformats.org/officeDocument/2006/relationships" name="3. Escrow - toan bo truong" sheetId="3" state="visible" r:id="rId3"/>
    <sheet xmlns:r="http://schemas.openxmlformats.org/officeDocument/2006/relationships" name="4. Don ky quy am hoac 0" sheetId="4" state="visible" r:id="rId4"/>
    <sheet xmlns:r="http://schemas.openxmlformats.org/officeDocument/2006/relationships" name="5. Don co trang thai tra hoan" sheetId="5" state="visible" r:id="rId5"/>
    <sheet xmlns:r="http://schemas.openxmlformats.org/officeDocument/2006/relationships" name="6. Do phu cot hoan tr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2A3179"/>
      </patternFill>
    </fill>
    <fill>
      <patternFill patternType="solid">
        <fgColor rgb="00FBE8E7"/>
      </patternFill>
    </fill>
    <fill>
      <patternFill patternType="solid">
        <fgColor rgb="00E3F1EB"/>
      </patternFill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/>
    </xf>
    <xf numFmtId="0" fontId="4" fillId="0" borderId="0" pivotButton="0" quotePrefix="0" xfId="0"/>
    <xf numFmtId="164" fontId="4" fillId="0" borderId="1" pivotButton="0" quotePrefix="0" xfId="0"/>
    <xf numFmtId="165" fontId="2" fillId="4" borderId="1" applyAlignment="1" pivotButton="0" quotePrefix="0" xfId="0">
      <alignment vertical="top"/>
    </xf>
    <xf numFmtId="165" fontId="2" fillId="0" borderId="1" applyAlignment="1" pivotButton="0" quotePrefix="0" xfId="0">
      <alignment vertical="top"/>
    </xf>
    <xf numFmtId="165" fontId="2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20" customWidth="1" min="3" max="3"/>
    <col width="9" customWidth="1" min="4" max="4"/>
    <col width="42" customWidth="1" min="5" max="5"/>
    <col width="56" customWidth="1" min="6" max="6"/>
  </cols>
  <sheetData>
    <row r="1" ht="32" customHeight="1">
      <c r="A1" s="1" t="inlineStr">
        <is>
          <t>Endpoint Shopee</t>
        </is>
      </c>
      <c r="B1" s="1" t="inlineStr">
        <is>
          <t>Chế độ gọi</t>
        </is>
      </c>
      <c r="C1" s="1" t="inlineStr">
        <is>
          <t>Cửa sổ thời gian</t>
        </is>
      </c>
      <c r="D1" s="1" t="inlineStr">
        <is>
          <t>Quyền</t>
        </is>
      </c>
      <c r="E1" s="1" t="inlineStr">
        <is>
          <t>Kết quả trả về</t>
        </is>
      </c>
      <c r="F1" s="1" t="inlineStr">
        <is>
          <t>Đánh giá</t>
        </is>
      </c>
    </row>
    <row r="2">
      <c r="A2" s="2" t="inlineStr">
        <is>
          <t>/api/v2/returns/get_return_list</t>
        </is>
      </c>
      <c r="B2" s="2" t="inlineStr">
        <is>
          <t>probe</t>
        </is>
      </c>
      <c r="C2" s="2" t="inlineStr">
        <is>
          <t>14 ngày gần nhất</t>
        </is>
      </c>
      <c r="D2" s="2" t="inlineStr">
        <is>
          <t>ok</t>
        </is>
      </c>
      <c r="E2" s="2" t="inlineStr">
        <is>
          <t>{"more": false, "return": []}</t>
        </is>
      </c>
      <c r="F2" s="3" t="inlineStr">
        <is>
          <t>RỖNG. Quyền không bị chặn, API chạy được, nhưng Shopee không liệt kê đơn trả nào.</t>
        </is>
      </c>
    </row>
    <row r="3">
      <c r="A3" s="2" t="inlineStr">
        <is>
          <t>/api/v2/returns/get_return_list</t>
        </is>
      </c>
      <c r="B3" s="2" t="inlineStr">
        <is>
          <t>sync (days=600)</t>
        </is>
      </c>
      <c r="C3" s="2" t="inlineStr">
        <is>
          <t>600 ngày, quét trọn</t>
        </is>
      </c>
      <c r="D3" s="2" t="inlineStr">
        <is>
          <t>ok</t>
        </is>
      </c>
      <c r="E3" s="3" t="inlineStr">
        <is>
          <t>returns_found: 0 · stopped_by_budget: false</t>
        </is>
      </c>
      <c r="F3" s="3" t="inlineStr">
        <is>
          <t>RỖNG suốt 600 ngày, không bị cắt vì hết giờ. Đây là lý do cột số lượng hoàn chưa từng được ghi.</t>
        </is>
      </c>
    </row>
    <row r="4">
      <c r="A4" s="4" t="inlineStr">
        <is>
          <t>/api/v2/payment/get_escrow_detail</t>
        </is>
      </c>
      <c r="B4" s="4" t="inlineStr">
        <is>
          <t>probe</t>
        </is>
      </c>
      <c r="C4" s="4" t="inlineStr">
        <is>
          <t>đơn 260617AMH1GPU2</t>
        </is>
      </c>
      <c r="D4" s="4" t="inlineStr">
        <is>
          <t>ok</t>
        </is>
      </c>
      <c r="E4" s="4" t="inlineStr">
        <is>
          <t>146 trường · 13 trường dính hoàn/trả</t>
        </is>
      </c>
      <c r="F4" s="5" t="inlineStr">
        <is>
          <t>CÓ DỮ LIỆU HOÀN TIỀN: seller_return_refund = -522.500. Xem sheet 2.</t>
        </is>
      </c>
    </row>
    <row r="5">
      <c r="A5" s="6" t="inlineStr">
        <is>
          <t>/api/v2/logistics/get_tracking_info</t>
        </is>
      </c>
      <c r="B5" s="6" t="inlineStr">
        <is>
          <t>probe</t>
        </is>
      </c>
      <c r="C5" s="6" t="inlineStr">
        <is>
          <t>đơn 260617AMH1GPU2</t>
        </is>
      </c>
      <c r="D5" s="6" t="inlineStr">
        <is>
          <t>ok</t>
        </is>
      </c>
      <c r="E5" s="6" t="inlineStr">
        <is>
          <t>tracking_info</t>
        </is>
      </c>
      <c r="F5" s="6" t="inlineStr">
        <is>
          <t>Không liên quan hoàn trả.</t>
        </is>
      </c>
    </row>
    <row r="7" ht="20" customHeight="1">
      <c r="A7" s="7" t="inlineStr">
        <is>
          <t>KẾT LUẬN</t>
        </is>
      </c>
    </row>
    <row r="8" ht="30" customHeight="1">
      <c r="A8" s="8" t="inlineStr">
        <is>
          <t>1. Returns API (get_return_list) rỗng hoàn toàn — KHÔNG phải do thiếu quyền.</t>
        </is>
      </c>
    </row>
    <row r="9" ht="30" customHeight="1">
      <c r="A9" s="8" t="inlineStr">
        <is>
          <t>2. Nhưng Escrow API (get_escrow_detail) CÓ báo tiền hoàn rõ ràng ở order_income.seller_return_refund.</t>
        </is>
      </c>
    </row>
    <row r="10" ht="30" customHeight="1">
      <c r="A10" s="8" t="inlineStr">
        <is>
          <t>3. Tầng nạp GỌI đúng endpoint escrow cho mọi đơn, đọc 13 trường khác từ cùng phản hồi, rồi BỎ QUA trường hoàn tiền.</t>
        </is>
      </c>
    </row>
    <row r="11" ht="30" customHeight="1">
      <c r="A11" s="8" t="inlineStr">
        <is>
          <t>4. Công thức doanh thu (revenue_rules.py) chỉ trừ hoàn trả theo so_luong_san_pham_duoc_hoan_tra — cột không ai điền.</t>
        </is>
      </c>
    </row>
    <row r="13" ht="20" customHeight="1">
      <c r="A13" s="7" t="inlineStr">
        <is>
          <t>MỨC ẢNH HƯỞNG — xem sheet 6</t>
        </is>
      </c>
    </row>
    <row r="14" ht="30" customHeight="1">
      <c r="A14" s="8" t="inlineStr">
        <is>
          <t>86 đơn được app tính đủ doanh thu nhưng Shopee trả 0 đồng hoặc thu lại tiền.</t>
        </is>
      </c>
    </row>
    <row r="15" ht="30" customHeight="1">
      <c r="A15" s="8" t="inlineStr">
        <is>
          <t>Doanh thu app đang tính cho 86 đơn đó: 88,4 triệu = 4,02% doanh thu đơn không huỷ.</t>
        </is>
      </c>
    </row>
    <row r="16" ht="30" customHeight="1">
      <c r="A16" s="8" t="inlineStr">
        <is>
          <t>Tín hiệu nằm SẴN trong database ở cột tien_ky_quy — không cần gọi API mới thấy.</t>
        </is>
      </c>
    </row>
  </sheetData>
  <mergeCells count="9">
    <mergeCell ref="A16:F16"/>
    <mergeCell ref="A11:F11"/>
    <mergeCell ref="A10:F10"/>
    <mergeCell ref="A13:F13"/>
    <mergeCell ref="A14:F14"/>
    <mergeCell ref="A9:F9"/>
    <mergeCell ref="A8:F8"/>
    <mergeCell ref="A15:F15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16" customWidth="1" min="3" max="3"/>
    <col width="30" customWidth="1" min="4" max="4"/>
    <col width="54" customWidth="1" min="5" max="5"/>
  </cols>
  <sheetData>
    <row r="1" ht="32" customHeight="1">
      <c r="A1" s="1" t="inlineStr">
        <is>
          <t>Trường trong API</t>
        </is>
      </c>
      <c r="B1" s="1" t="inlineStr">
        <is>
          <t>Giá trị (đơn 260617AMH1GPU2)</t>
        </is>
      </c>
      <c r="C1" s="1" t="inlineStr">
        <is>
          <t>Tầng nạp có lưu?</t>
        </is>
      </c>
      <c r="D1" s="1" t="inlineStr">
        <is>
          <t>Lưu vào cột nào</t>
        </is>
      </c>
      <c r="E1" s="1" t="inlineStr">
        <is>
          <t>Ý nghĩa</t>
        </is>
      </c>
    </row>
    <row r="2">
      <c r="A2" s="2" t="inlineStr">
        <is>
          <t>order_income.seller_return_refund</t>
        </is>
      </c>
      <c r="B2" s="2" t="n">
        <v>-522500</v>
      </c>
      <c r="C2" s="2" t="inlineStr">
        <is>
          <t>KHÔNG</t>
        </is>
      </c>
      <c r="D2" s="2" t="inlineStr">
        <is>
          <t>— bị bỏ đi —</t>
        </is>
      </c>
      <c r="E2" s="3" t="inlineStr">
        <is>
          <t>SỐ TIỀN HOÀN CHO NGƯỜI BÁN. Đây chính là "mục ghi hoàn tiền rõ ràng". Bằng đúng giá bán 522.500 → đơn bị hoàn TOÀN BỘ.</t>
        </is>
      </c>
    </row>
    <row r="3">
      <c r="A3" s="2" t="inlineStr">
        <is>
          <t>order_income.drc_adjustable_refund</t>
        </is>
      </c>
      <c r="B3" s="2" t="n">
        <v>412050</v>
      </c>
      <c r="C3" s="2" t="inlineStr">
        <is>
          <t>KHÔNG</t>
        </is>
      </c>
      <c r="D3" s="2" t="inlineStr">
        <is>
          <t>— bị bỏ đi —</t>
        </is>
      </c>
      <c r="E3" s="3" t="inlineStr">
        <is>
          <t>Khoản hoàn có thể điều chỉnh theo tranh chấp.</t>
        </is>
      </c>
    </row>
    <row r="4">
      <c r="A4" s="2" t="inlineStr">
        <is>
          <t>order_income.reverse_shipping_fee</t>
        </is>
      </c>
      <c r="B4" s="2" t="n">
        <v>40000</v>
      </c>
      <c r="C4" s="2" t="inlineStr">
        <is>
          <t>KHÔNG</t>
        </is>
      </c>
      <c r="D4" s="2" t="inlineStr">
        <is>
          <t>— bị bỏ đi —</t>
        </is>
      </c>
      <c r="E4" s="3" t="inlineStr">
        <is>
          <t>Phí vận chuyển chiều ngược, tức hàng trả về.</t>
        </is>
      </c>
    </row>
    <row r="5">
      <c r="A5" s="9" t="inlineStr">
        <is>
          <t>order_income.final_return_to_seller_shipping_fee</t>
        </is>
      </c>
      <c r="B5" s="6" t="n">
        <v>0</v>
      </c>
      <c r="C5" s="6" t="inlineStr">
        <is>
          <t>KHÔNG</t>
        </is>
      </c>
      <c r="D5" s="6" t="inlineStr">
        <is>
          <t>— bị bỏ đi —</t>
        </is>
      </c>
      <c r="E5" s="9" t="inlineStr">
        <is>
          <t>Phí giao hàng trả về người bán, chốt cuối.</t>
        </is>
      </c>
    </row>
    <row r="6">
      <c r="A6" s="6" t="inlineStr">
        <is>
          <t>order_income.overseas_return_service_fee</t>
        </is>
      </c>
      <c r="B6" s="6" t="n">
        <v>0</v>
      </c>
      <c r="C6" s="6" t="inlineStr">
        <is>
          <t>KHÔNG</t>
        </is>
      </c>
      <c r="D6" s="6" t="inlineStr">
        <is>
          <t>— bị bỏ đi —</t>
        </is>
      </c>
      <c r="E6" s="9" t="inlineStr">
        <is>
          <t>Khoản phụ liên quan trả hàng, giá trị 0 ở đơn này.</t>
        </is>
      </c>
    </row>
    <row r="7">
      <c r="A7" s="9" t="inlineStr">
        <is>
          <t>order_income.prorated_coins_value_offset_return_items</t>
        </is>
      </c>
      <c r="B7" s="6" t="n">
        <v>0</v>
      </c>
      <c r="C7" s="6" t="inlineStr">
        <is>
          <t>KHÔNG</t>
        </is>
      </c>
      <c r="D7" s="6" t="inlineStr">
        <is>
          <t>— bị bỏ đi —</t>
        </is>
      </c>
      <c r="E7" s="9" t="inlineStr">
        <is>
          <t>Khoản phụ liên quan trả hàng, giá trị 0 ở đơn này.</t>
        </is>
      </c>
    </row>
    <row r="8">
      <c r="A8" s="9" t="inlineStr">
        <is>
          <t>order_income.prorated_payment_channel_promo_bank_offset_return_items</t>
        </is>
      </c>
      <c r="B8" s="6" t="n">
        <v>0</v>
      </c>
      <c r="C8" s="6" t="inlineStr">
        <is>
          <t>KHÔNG</t>
        </is>
      </c>
      <c r="D8" s="6" t="inlineStr">
        <is>
          <t>— bị bỏ đi —</t>
        </is>
      </c>
      <c r="E8" s="9" t="inlineStr">
        <is>
          <t>Khoản phụ liên quan trả hàng, giá trị 0 ở đơn này.</t>
        </is>
      </c>
    </row>
    <row r="9">
      <c r="A9" s="9" t="inlineStr">
        <is>
          <t>order_income.prorated_payment_channel_promo_shopee_offset_return_items</t>
        </is>
      </c>
      <c r="B9" s="6" t="n">
        <v>0</v>
      </c>
      <c r="C9" s="6" t="inlineStr">
        <is>
          <t>KHÔNG</t>
        </is>
      </c>
      <c r="D9" s="6" t="inlineStr">
        <is>
          <t>— bị bỏ đi —</t>
        </is>
      </c>
      <c r="E9" s="9" t="inlineStr">
        <is>
          <t>Khoản phụ liên quan trả hàng, giá trị 0 ở đơn này.</t>
        </is>
      </c>
    </row>
    <row r="10">
      <c r="A10" s="9" t="inlineStr">
        <is>
          <t>order_income.prorated_pix_discount_offset_return_items</t>
        </is>
      </c>
      <c r="B10" s="6" t="n">
        <v>0</v>
      </c>
      <c r="C10" s="6" t="inlineStr">
        <is>
          <t>KHÔNG</t>
        </is>
      </c>
      <c r="D10" s="6" t="inlineStr">
        <is>
          <t>— bị bỏ đi —</t>
        </is>
      </c>
      <c r="E10" s="9" t="inlineStr">
        <is>
          <t>Khoản phụ liên quan trả hàng, giá trị 0 ở đơn này.</t>
        </is>
      </c>
    </row>
    <row r="11">
      <c r="A11" s="9" t="inlineStr">
        <is>
          <t>order_income.prorated_seller_voucher_offset_return_items</t>
        </is>
      </c>
      <c r="B11" s="6" t="n">
        <v>0</v>
      </c>
      <c r="C11" s="6" t="inlineStr">
        <is>
          <t>KHÔNG</t>
        </is>
      </c>
      <c r="D11" s="6" t="inlineStr">
        <is>
          <t>— bị bỏ đi —</t>
        </is>
      </c>
      <c r="E11" s="9" t="inlineStr">
        <is>
          <t>Khoản phụ liên quan trả hàng, giá trị 0 ở đơn này.</t>
        </is>
      </c>
    </row>
    <row r="12">
      <c r="A12" s="9" t="inlineStr">
        <is>
          <t>order_income.prorated_shopee_voucher_offset_return_items</t>
        </is>
      </c>
      <c r="B12" s="6" t="n">
        <v>0</v>
      </c>
      <c r="C12" s="6" t="inlineStr">
        <is>
          <t>KHÔNG</t>
        </is>
      </c>
      <c r="D12" s="6" t="inlineStr">
        <is>
          <t>— bị bỏ đi —</t>
        </is>
      </c>
      <c r="E12" s="9" t="inlineStr">
        <is>
          <t>Khoản phụ liên quan trả hàng, giá trị 0 ở đơn này.</t>
        </is>
      </c>
    </row>
    <row r="13">
      <c r="A13" s="9" t="inlineStr">
        <is>
          <t>order_income.return_to_seller_shipping_fee_sst</t>
        </is>
      </c>
      <c r="B13" s="6" t="n">
        <v>0</v>
      </c>
      <c r="C13" s="6" t="inlineStr">
        <is>
          <t>KHÔNG</t>
        </is>
      </c>
      <c r="D13" s="6" t="inlineStr">
        <is>
          <t>— bị bỏ đi —</t>
        </is>
      </c>
      <c r="E13" s="9" t="inlineStr">
        <is>
          <t>Khoản phụ liên quan trả hàng, giá trị 0 ở đơn này.</t>
        </is>
      </c>
    </row>
    <row r="14">
      <c r="A14" s="6" t="inlineStr">
        <is>
          <t>order_income.reverse_shipping_fee_sst</t>
        </is>
      </c>
      <c r="B14" s="6" t="n">
        <v>0</v>
      </c>
      <c r="C14" s="6" t="inlineStr">
        <is>
          <t>KHÔNG</t>
        </is>
      </c>
      <c r="D14" s="6" t="inlineStr">
        <is>
          <t>— bị bỏ đi —</t>
        </is>
      </c>
      <c r="E14" s="9" t="inlineStr">
        <is>
          <t>Khoản phụ liên quan trả hàng, giá trị 0 ở đơn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24" customWidth="1" min="2" max="2"/>
    <col width="16" customWidth="1" min="3" max="3"/>
    <col width="34" customWidth="1" min="4" max="4"/>
  </cols>
  <sheetData>
    <row r="1" ht="32" customHeight="1">
      <c r="A1" s="1" t="inlineStr">
        <is>
          <t>Trường trong API</t>
        </is>
      </c>
      <c r="B1" s="1" t="inlineStr">
        <is>
          <t>Giá trị</t>
        </is>
      </c>
      <c r="C1" s="1" t="inlineStr">
        <is>
          <t>Tầng nạp có lưu?</t>
        </is>
      </c>
      <c r="D1" s="1" t="inlineStr">
        <is>
          <t>Lưu vào cột nào</t>
        </is>
      </c>
    </row>
    <row r="2">
      <c r="A2" s="6" t="inlineStr">
        <is>
          <t>buyer_payment_info.ads_voucher_discount</t>
        </is>
      </c>
      <c r="B2" s="6" t="n">
        <v>0</v>
      </c>
      <c r="C2" s="6" t="inlineStr"/>
      <c r="D2" s="6" t="inlineStr"/>
    </row>
    <row r="3">
      <c r="A3" s="6" t="inlineStr">
        <is>
          <t>buyer_payment_info.bcrs_deposit</t>
        </is>
      </c>
      <c r="B3" s="6" t="n">
        <v>0</v>
      </c>
      <c r="C3" s="6" t="inlineStr"/>
      <c r="D3" s="6" t="inlineStr"/>
    </row>
    <row r="4">
      <c r="A4" s="6" t="inlineStr">
        <is>
          <t>buyer_payment_info.bulky_handling_fee</t>
        </is>
      </c>
      <c r="B4" s="6" t="n">
        <v>0</v>
      </c>
      <c r="C4" s="6" t="inlineStr"/>
      <c r="D4" s="6" t="inlineStr"/>
    </row>
    <row r="5">
      <c r="A5" s="6" t="inlineStr">
        <is>
          <t>buyer_payment_info.buyer_instant_fee</t>
        </is>
      </c>
      <c r="B5" s="6" t="n">
        <v>0</v>
      </c>
      <c r="C5" s="6" t="inlineStr"/>
      <c r="D5" s="6" t="inlineStr"/>
    </row>
    <row r="6">
      <c r="A6" s="9" t="inlineStr">
        <is>
          <t>buyer_payment_info.buyer_paid_extended_warranty</t>
        </is>
      </c>
      <c r="B6" s="6" t="n">
        <v>0</v>
      </c>
      <c r="C6" s="6" t="inlineStr"/>
      <c r="D6" s="6" t="inlineStr"/>
    </row>
    <row r="7">
      <c r="A7" s="9" t="inlineStr">
        <is>
          <t>buyer_payment_info.buyer_paid_installation_fee</t>
        </is>
      </c>
      <c r="B7" s="6" t="n">
        <v>0</v>
      </c>
      <c r="C7" s="6" t="inlineStr"/>
      <c r="D7" s="6" t="inlineStr"/>
    </row>
    <row r="8">
      <c r="A8" s="4" t="inlineStr">
        <is>
          <t>buyer_payment_info.buyer_payment_method</t>
        </is>
      </c>
      <c r="B8" s="4" t="inlineStr">
        <is>
          <t>Cash on Delivery</t>
        </is>
      </c>
      <c r="C8" s="4" t="inlineStr">
        <is>
          <t>CÓ</t>
        </is>
      </c>
      <c r="D8" s="4" t="inlineStr">
        <is>
          <t>phuong_thuc_thanh_toan</t>
        </is>
      </c>
    </row>
    <row r="9">
      <c r="A9" s="6" t="inlineStr">
        <is>
          <t>buyer_payment_info.buyer_service_fee</t>
        </is>
      </c>
      <c r="B9" s="6" t="n">
        <v>0</v>
      </c>
      <c r="C9" s="6" t="inlineStr"/>
      <c r="D9" s="6" t="inlineStr"/>
    </row>
    <row r="10">
      <c r="A10" s="6" t="inlineStr">
        <is>
          <t>buyer_payment_info.buyer_tax_amount</t>
        </is>
      </c>
      <c r="B10" s="6" t="n">
        <v>0</v>
      </c>
      <c r="C10" s="6" t="inlineStr"/>
      <c r="D10" s="6" t="inlineStr"/>
    </row>
    <row r="11">
      <c r="A11" s="4" t="inlineStr">
        <is>
          <t>buyer_payment_info.buyer_total_amount</t>
        </is>
      </c>
      <c r="B11" s="4" t="n">
        <v>412050</v>
      </c>
      <c r="C11" s="4" t="inlineStr">
        <is>
          <t>CÓ</t>
        </is>
      </c>
      <c r="D11" s="4" t="inlineStr">
        <is>
          <t>tong_so_tien_nguoi_mua_thanh_toan</t>
        </is>
      </c>
    </row>
    <row r="12">
      <c r="A12" s="6" t="inlineStr">
        <is>
          <t>buyer_payment_info.credit_card_promotion</t>
        </is>
      </c>
      <c r="B12" s="6" t="n">
        <v>0</v>
      </c>
      <c r="C12" s="6" t="inlineStr"/>
      <c r="D12" s="6" t="inlineStr"/>
    </row>
    <row r="13">
      <c r="A13" s="6" t="inlineStr">
        <is>
          <t>buyer_payment_info.discount_pix</t>
        </is>
      </c>
      <c r="B13" s="6" t="n">
        <v>0</v>
      </c>
      <c r="C13" s="6" t="inlineStr"/>
      <c r="D13" s="6" t="inlineStr"/>
    </row>
    <row r="14">
      <c r="A14" s="6" t="inlineStr">
        <is>
          <t>buyer_payment_info.footwear_tax</t>
        </is>
      </c>
      <c r="B14" s="6" t="n">
        <v>0</v>
      </c>
      <c r="C14" s="6" t="inlineStr"/>
      <c r="D14" s="6" t="inlineStr"/>
    </row>
    <row r="15">
      <c r="A15" s="6" t="inlineStr">
        <is>
          <t>buyer_payment_info.icms_tax_amount</t>
        </is>
      </c>
      <c r="B15" s="6" t="n">
        <v>0</v>
      </c>
      <c r="C15" s="6" t="inlineStr"/>
      <c r="D15" s="6" t="inlineStr"/>
    </row>
    <row r="16">
      <c r="A16" s="9" t="inlineStr">
        <is>
          <t>buyer_payment_info.import_duty_and_excise_tax</t>
        </is>
      </c>
      <c r="B16" s="6" t="n">
        <v>0</v>
      </c>
      <c r="C16" s="6" t="inlineStr"/>
      <c r="D16" s="6" t="inlineStr"/>
    </row>
    <row r="17">
      <c r="A17" s="9" t="inlineStr">
        <is>
          <t>buyer_payment_info.import_processing_charge</t>
        </is>
      </c>
      <c r="B17" s="6" t="n">
        <v>0</v>
      </c>
      <c r="C17" s="6" t="inlineStr"/>
      <c r="D17" s="6" t="inlineStr"/>
    </row>
    <row r="18">
      <c r="A18" s="6" t="inlineStr">
        <is>
          <t>buyer_payment_info.import_tax_amount</t>
        </is>
      </c>
      <c r="B18" s="6" t="n">
        <v>0</v>
      </c>
      <c r="C18" s="6" t="inlineStr"/>
      <c r="D18" s="6" t="inlineStr"/>
    </row>
    <row r="19">
      <c r="A19" s="6" t="inlineStr">
        <is>
          <t>buyer_payment_info.initial_buyer_txn_fee</t>
        </is>
      </c>
      <c r="B19" s="6" t="n">
        <v>0</v>
      </c>
      <c r="C19" s="6" t="inlineStr"/>
      <c r="D19" s="6" t="inlineStr"/>
    </row>
    <row r="20">
      <c r="A20" s="6" t="inlineStr">
        <is>
          <t>buyer_payment_info.insurance_premium</t>
        </is>
      </c>
      <c r="B20" s="6" t="n">
        <v>0</v>
      </c>
      <c r="C20" s="6" t="inlineStr"/>
      <c r="D20" s="6" t="inlineStr"/>
    </row>
    <row r="21">
      <c r="A21" s="6" t="inlineStr">
        <is>
          <t>buyer_payment_info.iof_tax_amount</t>
        </is>
      </c>
      <c r="B21" s="6" t="n">
        <v>0</v>
      </c>
      <c r="C21" s="6" t="inlineStr"/>
      <c r="D21" s="6" t="inlineStr"/>
    </row>
    <row r="22">
      <c r="A22" s="9" t="inlineStr">
        <is>
          <t>buyer_payment_info.is_paid_by_credit_card</t>
        </is>
      </c>
      <c r="B22" s="6" t="b">
        <v>0</v>
      </c>
      <c r="C22" s="6" t="inlineStr"/>
      <c r="D22" s="6" t="inlineStr"/>
    </row>
    <row r="23">
      <c r="A23" s="9" t="inlineStr">
        <is>
          <t>buyer_payment_info.lvg_sales_tax_adjustment</t>
        </is>
      </c>
      <c r="B23" s="6" t="n">
        <v>0</v>
      </c>
      <c r="C23" s="6" t="inlineStr"/>
      <c r="D23" s="6" t="inlineStr"/>
    </row>
    <row r="24">
      <c r="A24" s="6" t="inlineStr">
        <is>
          <t>buyer_payment_info.merchant_subtotal</t>
        </is>
      </c>
      <c r="B24" s="6" t="n">
        <v>522500</v>
      </c>
      <c r="C24" s="6" t="inlineStr"/>
      <c r="D24" s="6" t="inlineStr"/>
    </row>
    <row r="25">
      <c r="A25" s="6" t="inlineStr">
        <is>
          <t>buyer_payment_info.seller_voucher</t>
        </is>
      </c>
      <c r="B25" s="6" t="n">
        <v>-20000</v>
      </c>
      <c r="C25" s="6" t="inlineStr"/>
      <c r="D25" s="6" t="inlineStr"/>
    </row>
    <row r="26">
      <c r="A26" s="6" t="inlineStr">
        <is>
          <t>buyer_payment_info.shipping_fee</t>
        </is>
      </c>
      <c r="B26" s="6" t="n">
        <v>0</v>
      </c>
      <c r="C26" s="6" t="inlineStr"/>
      <c r="D26" s="6" t="inlineStr"/>
    </row>
    <row r="27">
      <c r="A27" s="9" t="inlineStr">
        <is>
          <t>buyer_payment_info.shipping_fee_sst_amount</t>
        </is>
      </c>
      <c r="B27" s="6" t="n">
        <v>0</v>
      </c>
      <c r="C27" s="6" t="inlineStr"/>
      <c r="D27" s="6" t="inlineStr"/>
    </row>
    <row r="28">
      <c r="A28" s="6" t="inlineStr">
        <is>
          <t>buyer_payment_info.shopee_coins_redeemed</t>
        </is>
      </c>
      <c r="B28" s="6" t="n">
        <v>0</v>
      </c>
      <c r="C28" s="6" t="inlineStr"/>
      <c r="D28" s="6" t="inlineStr"/>
    </row>
    <row r="29">
      <c r="A29" s="6" t="inlineStr">
        <is>
          <t>buyer_payment_info.shopee_voucher</t>
        </is>
      </c>
      <c r="B29" s="6" t="n">
        <v>-90450</v>
      </c>
      <c r="C29" s="6" t="inlineStr"/>
      <c r="D29" s="6" t="inlineStr"/>
    </row>
    <row r="30">
      <c r="A30" s="6" t="inlineStr">
        <is>
          <t>buyer_payment_info.shopeevip_subtotal</t>
        </is>
      </c>
      <c r="B30" s="6" t="n">
        <v>0</v>
      </c>
      <c r="C30" s="6" t="inlineStr"/>
      <c r="D30" s="6" t="inlineStr"/>
    </row>
    <row r="31">
      <c r="A31" s="9" t="inlineStr">
        <is>
          <t>buyer_payment_info.total_tax_and_fees_amount</t>
        </is>
      </c>
      <c r="B31" s="6" t="n">
        <v>0</v>
      </c>
      <c r="C31" s="6" t="inlineStr"/>
      <c r="D31" s="6" t="inlineStr"/>
    </row>
    <row r="32">
      <c r="A32" s="6" t="inlineStr">
        <is>
          <t>buyer_payment_info.trade_in_bonus</t>
        </is>
      </c>
      <c r="B32" s="6" t="n">
        <v>0</v>
      </c>
      <c r="C32" s="6" t="inlineStr"/>
      <c r="D32" s="6" t="inlineStr"/>
    </row>
    <row r="33">
      <c r="A33" s="6" t="inlineStr">
        <is>
          <t>buyer_payment_info.trade_in_discount</t>
        </is>
      </c>
      <c r="B33" s="6" t="n">
        <v>0</v>
      </c>
      <c r="C33" s="6" t="inlineStr"/>
      <c r="D33" s="6" t="inlineStr"/>
    </row>
    <row r="34">
      <c r="A34" s="6" t="inlineStr">
        <is>
          <t>buyer_payment_info.vat</t>
        </is>
      </c>
      <c r="B34" s="6" t="n">
        <v>0</v>
      </c>
      <c r="C34" s="6" t="inlineStr"/>
      <c r="D34" s="6" t="inlineStr"/>
    </row>
    <row r="35">
      <c r="A35" s="6" t="inlineStr">
        <is>
          <t>buyer_user_name</t>
        </is>
      </c>
      <c r="B35" s="6" t="inlineStr">
        <is>
          <t>shopduahau90</t>
        </is>
      </c>
      <c r="C35" s="6" t="inlineStr"/>
      <c r="D35" s="6" t="inlineStr"/>
    </row>
    <row r="36">
      <c r="A36" s="6" t="inlineStr">
        <is>
          <t>order_income.actual_installation_fee</t>
        </is>
      </c>
      <c r="B36" s="6" t="n">
        <v>0</v>
      </c>
      <c r="C36" s="6" t="inlineStr"/>
      <c r="D36" s="6" t="inlineStr"/>
    </row>
    <row r="37">
      <c r="A37" s="6" t="inlineStr">
        <is>
          <t>order_income.actual_shipping_fee</t>
        </is>
      </c>
      <c r="B37" s="6" t="n">
        <v>0</v>
      </c>
      <c r="C37" s="6" t="inlineStr"/>
      <c r="D37" s="6" t="inlineStr"/>
    </row>
    <row r="38">
      <c r="A38" s="9" t="inlineStr">
        <is>
          <t>order_income.ads_escrow_top_up_fee_or_technical_support_fee</t>
        </is>
      </c>
      <c r="B38" s="6" t="n">
        <v>0</v>
      </c>
      <c r="C38" s="6" t="inlineStr"/>
      <c r="D38" s="6" t="inlineStr"/>
    </row>
    <row r="39">
      <c r="A39" s="6" t="inlineStr">
        <is>
          <t>order_income.bcrs_deposit</t>
        </is>
      </c>
      <c r="B39" s="6" t="n">
        <v>0</v>
      </c>
      <c r="C39" s="6" t="inlineStr"/>
      <c r="D39" s="6" t="inlineStr"/>
    </row>
    <row r="40">
      <c r="A40" s="9" t="inlineStr">
        <is>
          <t>order_income.buyer_paid_extended_warranty</t>
        </is>
      </c>
      <c r="B40" s="6" t="n">
        <v>0</v>
      </c>
      <c r="C40" s="6" t="inlineStr"/>
      <c r="D40" s="6" t="inlineStr"/>
    </row>
    <row r="41">
      <c r="A41" s="4" t="inlineStr">
        <is>
          <t>order_income.buyer_paid_shipping_fee</t>
        </is>
      </c>
      <c r="B41" s="4" t="n">
        <v>0</v>
      </c>
      <c r="C41" s="4" t="inlineStr">
        <is>
          <t>CÓ</t>
        </is>
      </c>
      <c r="D41" s="4" t="inlineStr">
        <is>
          <t>phi_van_chuyen_ma_nguoi_mua_tra</t>
        </is>
      </c>
    </row>
    <row r="42">
      <c r="A42" s="4" t="inlineStr">
        <is>
          <t>order_income.buyer_payment_method</t>
        </is>
      </c>
      <c r="B42" s="4" t="inlineStr">
        <is>
          <t>Cash on Delivery</t>
        </is>
      </c>
      <c r="C42" s="4" t="inlineStr">
        <is>
          <t>CÓ</t>
        </is>
      </c>
      <c r="D42" s="4" t="inlineStr">
        <is>
          <t>phuong_thuc_thanh_toan</t>
        </is>
      </c>
    </row>
    <row r="43">
      <c r="A43" s="4" t="inlineStr">
        <is>
          <t>order_income.buyer_total_amount</t>
        </is>
      </c>
      <c r="B43" s="4" t="n">
        <v>412050</v>
      </c>
      <c r="C43" s="4" t="inlineStr">
        <is>
          <t>CÓ</t>
        </is>
      </c>
      <c r="D43" s="4" t="inlineStr">
        <is>
          <t>tong_so_tien_nguoi_mua_thanh_toan</t>
        </is>
      </c>
    </row>
    <row r="44">
      <c r="A44" s="6" t="inlineStr">
        <is>
          <t>order_income.buyer_transaction_fee</t>
        </is>
      </c>
      <c r="B44" s="6" t="n">
        <v>0</v>
      </c>
      <c r="C44" s="6" t="inlineStr"/>
      <c r="D44" s="6" t="inlineStr"/>
    </row>
    <row r="45">
      <c r="A45" s="4" t="inlineStr">
        <is>
          <t>order_income.campaign_fee</t>
        </is>
      </c>
      <c r="B45" s="4" t="n">
        <v>0</v>
      </c>
      <c r="C45" s="4" t="inlineStr">
        <is>
          <t>CÓ</t>
        </is>
      </c>
      <c r="D45" s="4" t="inlineStr">
        <is>
          <t>phi_dich_vu</t>
        </is>
      </c>
    </row>
    <row r="46">
      <c r="A46" s="4" t="inlineStr">
        <is>
          <t>order_income.coins</t>
        </is>
      </c>
      <c r="B46" s="4" t="n">
        <v>0</v>
      </c>
      <c r="C46" s="4" t="inlineStr">
        <is>
          <t>CÓ</t>
        </is>
      </c>
      <c r="D46" s="4" t="inlineStr">
        <is>
          <t>hoan_xu</t>
        </is>
      </c>
    </row>
    <row r="47">
      <c r="A47" s="4" t="inlineStr">
        <is>
          <t>order_income.commission_fee</t>
        </is>
      </c>
      <c r="B47" s="4" t="n">
        <v>0</v>
      </c>
      <c r="C47" s="4" t="inlineStr">
        <is>
          <t>CÓ</t>
        </is>
      </c>
      <c r="D47" s="4" t="inlineStr">
        <is>
          <t>phi_co_dinh</t>
        </is>
      </c>
    </row>
    <row r="48">
      <c r="A48" s="6" t="inlineStr">
        <is>
          <t>order_income.cost_of_goods_sold</t>
        </is>
      </c>
      <c r="B48" s="6" t="n">
        <v>0</v>
      </c>
      <c r="C48" s="6" t="inlineStr"/>
      <c r="D48" s="6" t="inlineStr"/>
    </row>
    <row r="49">
      <c r="A49" s="6" t="inlineStr">
        <is>
          <t>order_income.credit_card_promotion</t>
        </is>
      </c>
      <c r="B49" s="6" t="n">
        <v>0</v>
      </c>
      <c r="C49" s="6" t="inlineStr"/>
      <c r="D49" s="6" t="inlineStr"/>
    </row>
    <row r="50">
      <c r="A50" s="4" t="inlineStr">
        <is>
          <t>order_income.credit_card_transaction_fee</t>
        </is>
      </c>
      <c r="B50" s="4" t="n">
        <v>0</v>
      </c>
      <c r="C50" s="4" t="inlineStr">
        <is>
          <t>CÓ</t>
        </is>
      </c>
      <c r="D50" s="4" t="inlineStr">
        <is>
          <t>phi_thanh_toan</t>
        </is>
      </c>
    </row>
    <row r="51">
      <c r="A51" s="6" t="inlineStr">
        <is>
          <t>order_income.cross_border_tax</t>
        </is>
      </c>
      <c r="B51" s="6" t="n">
        <v>0</v>
      </c>
      <c r="C51" s="6" t="inlineStr"/>
      <c r="D51" s="6" t="inlineStr"/>
    </row>
    <row r="52">
      <c r="A52" s="9" t="inlineStr">
        <is>
          <t>order_income.delivery_seller_protection_fee_premium_amount</t>
        </is>
      </c>
      <c r="B52" s="6" t="n">
        <v>0</v>
      </c>
      <c r="C52" s="6" t="inlineStr"/>
      <c r="D52" s="6" t="inlineStr"/>
    </row>
    <row r="53">
      <c r="A53" s="6" t="inlineStr">
        <is>
          <t>order_income.drc_adjustable_refund</t>
        </is>
      </c>
      <c r="B53" s="6" t="n">
        <v>412050</v>
      </c>
      <c r="C53" s="6" t="inlineStr"/>
      <c r="D53" s="6" t="inlineStr"/>
    </row>
    <row r="54">
      <c r="A54" s="4" t="inlineStr">
        <is>
          <t>order_income.escrow_amount</t>
        </is>
      </c>
      <c r="B54" s="4" t="n">
        <v>-2700</v>
      </c>
      <c r="C54" s="4" t="inlineStr">
        <is>
          <t>CÓ</t>
        </is>
      </c>
      <c r="D54" s="4" t="inlineStr">
        <is>
          <t>tien_ky_quy</t>
        </is>
      </c>
    </row>
    <row r="55">
      <c r="A55" s="5" t="inlineStr">
        <is>
          <t>order_income.escrow_amount_after_adjustment</t>
        </is>
      </c>
      <c r="B55" s="4" t="n">
        <v>-2700</v>
      </c>
      <c r="C55" s="4" t="inlineStr">
        <is>
          <t>CÓ</t>
        </is>
      </c>
      <c r="D55" s="4" t="inlineStr">
        <is>
          <t>tien_ky_quy</t>
        </is>
      </c>
    </row>
    <row r="56">
      <c r="A56" s="6" t="inlineStr">
        <is>
          <t>order_income.escrow_import_tax</t>
        </is>
      </c>
      <c r="B56" s="6" t="n">
        <v>0</v>
      </c>
      <c r="C56" s="6" t="inlineStr"/>
      <c r="D56" s="6" t="inlineStr"/>
    </row>
    <row r="57">
      <c r="A57" s="6" t="inlineStr">
        <is>
          <t>order_income.escrow_tax</t>
        </is>
      </c>
      <c r="B57" s="6" t="n">
        <v>0</v>
      </c>
      <c r="C57" s="6" t="inlineStr"/>
      <c r="D57" s="6" t="inlineStr"/>
    </row>
    <row r="58">
      <c r="A58" s="4" t="inlineStr">
        <is>
          <t>order_income.estimated_shipping_fee</t>
        </is>
      </c>
      <c r="B58" s="4" t="n">
        <v>48200</v>
      </c>
      <c r="C58" s="4" t="inlineStr">
        <is>
          <t>CÓ</t>
        </is>
      </c>
      <c r="D58" s="4" t="inlineStr">
        <is>
          <t>phi_van_chuyen_du_kien</t>
        </is>
      </c>
    </row>
    <row r="59">
      <c r="A59" s="6" t="inlineStr">
        <is>
          <t>order_income.fbs_fee</t>
        </is>
      </c>
      <c r="B59" s="6" t="n">
        <v>0</v>
      </c>
      <c r="C59" s="6" t="inlineStr"/>
      <c r="D59" s="6" t="inlineStr"/>
    </row>
    <row r="60">
      <c r="A60" s="6" t="inlineStr">
        <is>
          <t>order_income.final_escrow_product_gst</t>
        </is>
      </c>
      <c r="B60" s="6" t="n">
        <v>0</v>
      </c>
      <c r="C60" s="6" t="inlineStr"/>
      <c r="D60" s="6" t="inlineStr"/>
    </row>
    <row r="61">
      <c r="A61" s="6" t="inlineStr">
        <is>
          <t>order_income.final_escrow_shipping_gst</t>
        </is>
      </c>
      <c r="B61" s="6" t="n">
        <v>0</v>
      </c>
      <c r="C61" s="6" t="inlineStr"/>
      <c r="D61" s="6" t="inlineStr"/>
    </row>
    <row r="62">
      <c r="A62" s="6" t="inlineStr">
        <is>
          <t>order_income.final_product_protection</t>
        </is>
      </c>
      <c r="B62" s="6" t="n">
        <v>0</v>
      </c>
      <c r="C62" s="6" t="inlineStr"/>
      <c r="D62" s="6" t="inlineStr"/>
    </row>
    <row r="63">
      <c r="A63" s="6" t="inlineStr">
        <is>
          <t>order_income.final_product_vat_tax</t>
        </is>
      </c>
      <c r="B63" s="6" t="n">
        <v>0</v>
      </c>
      <c r="C63" s="6" t="inlineStr"/>
      <c r="D63" s="6" t="inlineStr"/>
    </row>
    <row r="64">
      <c r="A64" s="9" t="inlineStr">
        <is>
          <t>order_income.final_return_to_seller_shipping_fee</t>
        </is>
      </c>
      <c r="B64" s="6" t="n">
        <v>0</v>
      </c>
      <c r="C64" s="6" t="inlineStr"/>
      <c r="D64" s="6" t="inlineStr"/>
    </row>
    <row r="65">
      <c r="A65" s="6" t="inlineStr">
        <is>
          <t>order_income.final_shipping_fee</t>
        </is>
      </c>
      <c r="B65" s="6" t="n">
        <v>0</v>
      </c>
      <c r="C65" s="6" t="inlineStr"/>
      <c r="D65" s="6" t="inlineStr"/>
    </row>
    <row r="66">
      <c r="A66" s="6" t="inlineStr">
        <is>
          <t>order_income.final_shipping_vat_tax</t>
        </is>
      </c>
      <c r="B66" s="6" t="n">
        <v>0</v>
      </c>
      <c r="C66" s="6" t="inlineStr"/>
      <c r="D66" s="6" t="inlineStr"/>
    </row>
    <row r="67">
      <c r="A67" s="9" t="inlineStr">
        <is>
          <t>order_income.fsf_seller_protection_fee_claim_amount</t>
        </is>
      </c>
      <c r="B67" s="6" t="n">
        <v>0</v>
      </c>
      <c r="C67" s="6" t="inlineStr"/>
      <c r="D67" s="6" t="inlineStr"/>
    </row>
    <row r="68">
      <c r="A68" s="9" t="inlineStr">
        <is>
          <t>order_income.installation_fee_paid_by_buyer</t>
        </is>
      </c>
      <c r="B68" s="6" t="n">
        <v>0</v>
      </c>
      <c r="C68" s="6" t="inlineStr"/>
      <c r="D68" s="6" t="inlineStr"/>
    </row>
    <row r="69">
      <c r="A69" s="6" t="inlineStr">
        <is>
          <t>order_income.instalment_plan</t>
        </is>
      </c>
      <c r="B69" s="6" t="inlineStr">
        <is>
          <t>N/A</t>
        </is>
      </c>
      <c r="C69" s="6" t="inlineStr"/>
      <c r="D69" s="6" t="inlineStr"/>
    </row>
    <row r="70">
      <c r="A70" s="6" t="inlineStr">
        <is>
          <t>order_income.items[0].activity_id</t>
        </is>
      </c>
      <c r="B70" s="6" t="n">
        <v>0</v>
      </c>
      <c r="C70" s="6" t="inlineStr"/>
      <c r="D70" s="6" t="inlineStr"/>
    </row>
    <row r="71">
      <c r="A71" s="6" t="inlineStr">
        <is>
          <t>order_income.items[0].activity_type</t>
        </is>
      </c>
      <c r="B71" s="6" t="inlineStr"/>
      <c r="C71" s="6" t="inlineStr"/>
      <c r="D71" s="6" t="inlineStr"/>
    </row>
    <row r="72">
      <c r="A72" s="6" t="inlineStr">
        <is>
          <t>order_income.items[0].ams_commission_fee</t>
        </is>
      </c>
      <c r="B72" s="6" t="n">
        <v>0</v>
      </c>
      <c r="C72" s="6" t="inlineStr"/>
      <c r="D72" s="6" t="inlineStr"/>
    </row>
    <row r="73">
      <c r="A73" s="6" t="inlineStr">
        <is>
          <t>order_income.items[0].bcrs_deposit</t>
        </is>
      </c>
      <c r="B73" s="6" t="n">
        <v>0</v>
      </c>
      <c r="C73" s="6" t="inlineStr"/>
      <c r="D73" s="6" t="inlineStr"/>
    </row>
    <row r="74">
      <c r="A74" s="9" t="inlineStr">
        <is>
          <t>order_income.items[0].buyer_paid_extended_warranty</t>
        </is>
      </c>
      <c r="B74" s="6" t="n">
        <v>0</v>
      </c>
      <c r="C74" s="6" t="inlineStr"/>
      <c r="D74" s="6" t="inlineStr"/>
    </row>
    <row r="75">
      <c r="A75" s="6" t="inlineStr">
        <is>
          <t>order_income.items[0].discount_from_coin</t>
        </is>
      </c>
      <c r="B75" s="6" t="n">
        <v>0</v>
      </c>
      <c r="C75" s="6" t="inlineStr"/>
      <c r="D75" s="6" t="inlineStr"/>
    </row>
    <row r="76">
      <c r="A76" s="9" t="inlineStr">
        <is>
          <t>order_income.items[0].discount_from_voucher_seller</t>
        </is>
      </c>
      <c r="B76" s="6" t="n">
        <v>20000</v>
      </c>
      <c r="C76" s="6" t="inlineStr"/>
      <c r="D76" s="6" t="inlineStr"/>
    </row>
    <row r="77">
      <c r="A77" s="9" t="inlineStr">
        <is>
          <t>order_income.items[0].discount_from_voucher_shopee</t>
        </is>
      </c>
      <c r="B77" s="6" t="n">
        <v>90450</v>
      </c>
      <c r="C77" s="6" t="inlineStr"/>
      <c r="D77" s="6" t="inlineStr"/>
    </row>
    <row r="78">
      <c r="A78" s="6" t="inlineStr">
        <is>
          <t>order_income.items[0].discounted_price</t>
        </is>
      </c>
      <c r="B78" s="6" t="n">
        <v>522500</v>
      </c>
      <c r="C78" s="6" t="inlineStr"/>
      <c r="D78" s="6" t="inlineStr"/>
    </row>
    <row r="79">
      <c r="A79" s="9" t="inlineStr">
        <is>
          <t>order_income.items[0].installation_fee_paid_by_buyer</t>
        </is>
      </c>
      <c r="B79" s="6" t="n">
        <v>0</v>
      </c>
      <c r="C79" s="6" t="inlineStr"/>
      <c r="D79" s="6" t="inlineStr"/>
    </row>
    <row r="80">
      <c r="A80" s="6" t="inlineStr">
        <is>
          <t>order_income.items[0].is_b2c_shop_item</t>
        </is>
      </c>
      <c r="B80" s="6" t="b">
        <v>0</v>
      </c>
      <c r="C80" s="6" t="inlineStr"/>
      <c r="D80" s="6" t="inlineStr"/>
    </row>
    <row r="81">
      <c r="A81" s="6" t="inlineStr">
        <is>
          <t>order_income.items[0].is_main_item</t>
        </is>
      </c>
      <c r="B81" s="6" t="b">
        <v>0</v>
      </c>
      <c r="C81" s="6" t="inlineStr"/>
      <c r="D81" s="6" t="inlineStr"/>
    </row>
    <row r="82">
      <c r="A82" s="6" t="inlineStr">
        <is>
          <t>order_income.items[0].item_id</t>
        </is>
      </c>
      <c r="B82" s="6" t="n">
        <v>29223771581</v>
      </c>
      <c r="C82" s="6" t="inlineStr"/>
      <c r="D82" s="6" t="inlineStr"/>
    </row>
    <row r="83">
      <c r="A83" s="6" t="inlineStr">
        <is>
          <t>order_income.items[0].item_name</t>
        </is>
      </c>
      <c r="B83" s="9" t="inlineStr">
        <is>
          <t>Chăn Lạnh 2mx2m3 ExtraCool TUFT &amp; NEEDLE, Chất Liệu Thun Lạnh Mùa Hè Điều Hòa Nhiệt Độ</t>
        </is>
      </c>
      <c r="C83" s="6" t="inlineStr"/>
      <c r="D83" s="6" t="inlineStr"/>
    </row>
    <row r="84">
      <c r="A84" s="6" t="inlineStr">
        <is>
          <t>order_income.items[0].item_sku</t>
        </is>
      </c>
      <c r="B84" s="6" t="inlineStr">
        <is>
          <t>BLA001</t>
        </is>
      </c>
      <c r="C84" s="6" t="inlineStr"/>
      <c r="D84" s="6" t="inlineStr"/>
    </row>
    <row r="85">
      <c r="A85" s="6" t="inlineStr">
        <is>
          <t>order_income.items[0].line_item_id</t>
        </is>
      </c>
      <c r="B85" s="6" t="n">
        <v>235365649231154</v>
      </c>
      <c r="C85" s="6" t="inlineStr"/>
      <c r="D85" s="6" t="inlineStr"/>
    </row>
    <row r="86">
      <c r="A86" s="6" t="inlineStr">
        <is>
          <t>order_income.items[0].model_id</t>
        </is>
      </c>
      <c r="B86" s="6" t="n">
        <v>286224202984</v>
      </c>
      <c r="C86" s="6" t="inlineStr"/>
      <c r="D86" s="6" t="inlineStr"/>
    </row>
    <row r="87">
      <c r="A87" s="6" t="inlineStr">
        <is>
          <t>order_income.items[0].model_name</t>
        </is>
      </c>
      <c r="B87" s="6" t="inlineStr">
        <is>
          <t>Tím hoa cà,Microfiber cao cấp</t>
        </is>
      </c>
      <c r="C87" s="6" t="inlineStr"/>
      <c r="D87" s="6" t="inlineStr"/>
    </row>
    <row r="88">
      <c r="A88" s="6" t="inlineStr">
        <is>
          <t>order_income.items[0].model_sku</t>
        </is>
      </c>
      <c r="B88" s="6" t="inlineStr">
        <is>
          <t>BLA001008</t>
        </is>
      </c>
      <c r="C88" s="6" t="inlineStr"/>
      <c r="D88" s="6" t="inlineStr"/>
    </row>
    <row r="89">
      <c r="A89" s="4" t="inlineStr">
        <is>
          <t>order_income.items[0].original_price</t>
        </is>
      </c>
      <c r="B89" s="4" t="n">
        <v>950000</v>
      </c>
      <c r="C89" s="4" t="inlineStr">
        <is>
          <t>CÓ</t>
        </is>
      </c>
      <c r="D89" s="4" t="inlineStr">
        <is>
          <t>gia_goc</t>
        </is>
      </c>
    </row>
    <row r="90">
      <c r="A90" s="9" t="inlineStr">
        <is>
          <t>order_income.items[0].promotion_list[0].promotion_id</t>
        </is>
      </c>
      <c r="B90" s="6" t="n">
        <v>927476940455936</v>
      </c>
      <c r="C90" s="6" t="inlineStr"/>
      <c r="D90" s="6" t="inlineStr"/>
    </row>
    <row r="91">
      <c r="A91" s="9" t="inlineStr">
        <is>
          <t>order_income.items[0].promotion_list[0].promotion_type</t>
        </is>
      </c>
      <c r="B91" s="6" t="inlineStr">
        <is>
          <t>seller_discount</t>
        </is>
      </c>
      <c r="C91" s="6" t="inlineStr"/>
      <c r="D91" s="6" t="inlineStr"/>
    </row>
    <row r="92">
      <c r="A92" s="6" t="inlineStr">
        <is>
          <t>order_income.items[0].quantity_purchased</t>
        </is>
      </c>
      <c r="B92" s="6" t="n">
        <v>1</v>
      </c>
      <c r="C92" s="6" t="inlineStr"/>
      <c r="D92" s="6" t="inlineStr"/>
    </row>
    <row r="93">
      <c r="A93" s="6" t="inlineStr">
        <is>
          <t>order_income.items[0].seller_discount</t>
        </is>
      </c>
      <c r="B93" s="6" t="n">
        <v>427500</v>
      </c>
      <c r="C93" s="6" t="inlineStr"/>
      <c r="D93" s="6" t="inlineStr"/>
    </row>
    <row r="94">
      <c r="A94" s="9" t="inlineStr">
        <is>
          <t>order_income.items[0].seller_order_processing_fee</t>
        </is>
      </c>
      <c r="B94" s="6" t="n">
        <v>0</v>
      </c>
      <c r="C94" s="6" t="inlineStr"/>
      <c r="D94" s="6" t="inlineStr"/>
    </row>
    <row r="95">
      <c r="A95" s="6" t="inlineStr">
        <is>
          <t>order_income.items[0].selling_price</t>
        </is>
      </c>
      <c r="B95" s="6" t="n">
        <v>522500</v>
      </c>
      <c r="C95" s="6" t="inlineStr"/>
      <c r="D95" s="6" t="inlineStr"/>
    </row>
    <row r="96">
      <c r="A96" s="6" t="inlineStr">
        <is>
          <t>order_income.items[0].shopee_discount</t>
        </is>
      </c>
      <c r="B96" s="6" t="n">
        <v>0</v>
      </c>
      <c r="C96" s="6" t="inlineStr"/>
      <c r="D96" s="6" t="inlineStr"/>
    </row>
    <row r="97">
      <c r="A97" s="9" t="inlineStr">
        <is>
          <t>order_income.lff_seller_protection_fee_amount</t>
        </is>
      </c>
      <c r="B97" s="6" t="n">
        <v>0</v>
      </c>
      <c r="C97" s="6" t="inlineStr"/>
      <c r="D97" s="6" t="inlineStr"/>
    </row>
    <row r="98">
      <c r="A98" s="6" t="inlineStr">
        <is>
          <t>order_income.order_ams_commission_fee</t>
        </is>
      </c>
      <c r="B98" s="6" t="n">
        <v>0</v>
      </c>
      <c r="C98" s="6" t="inlineStr"/>
      <c r="D98" s="6" t="inlineStr"/>
    </row>
    <row r="99">
      <c r="A99" s="6" t="inlineStr">
        <is>
          <t>order_income.order_chargeable_weight</t>
        </is>
      </c>
      <c r="B99" s="6" t="n">
        <v>0</v>
      </c>
      <c r="C99" s="6" t="inlineStr"/>
      <c r="D99" s="6" t="inlineStr"/>
    </row>
    <row r="100">
      <c r="A100" s="4" t="inlineStr">
        <is>
          <t>order_income.order_discounted_price</t>
        </is>
      </c>
      <c r="B100" s="4" t="n">
        <v>0</v>
      </c>
      <c r="C100" s="4" t="inlineStr">
        <is>
          <t>CÓ</t>
        </is>
      </c>
      <c r="D100" s="4" t="inlineStr">
        <is>
          <t>gia_uu_dai</t>
        </is>
      </c>
    </row>
    <row r="101">
      <c r="A101" s="4" t="inlineStr">
        <is>
          <t>order_income.order_original_price</t>
        </is>
      </c>
      <c r="B101" s="4" t="n">
        <v>950000</v>
      </c>
      <c r="C101" s="4" t="inlineStr">
        <is>
          <t>CÓ</t>
        </is>
      </c>
      <c r="D101" s="4" t="inlineStr">
        <is>
          <t>gia_goc</t>
        </is>
      </c>
    </row>
    <row r="102">
      <c r="A102" s="6" t="inlineStr">
        <is>
          <t>order_income.order_seller_discount</t>
        </is>
      </c>
      <c r="B102" s="6" t="n">
        <v>950000</v>
      </c>
      <c r="C102" s="6" t="inlineStr"/>
      <c r="D102" s="6" t="inlineStr"/>
    </row>
    <row r="103">
      <c r="A103" s="4" t="inlineStr">
        <is>
          <t>order_income.order_selling_price</t>
        </is>
      </c>
      <c r="B103" s="4" t="n">
        <v>0</v>
      </c>
      <c r="C103" s="4" t="inlineStr">
        <is>
          <t>CÓ</t>
        </is>
      </c>
      <c r="D103" s="4" t="inlineStr">
        <is>
          <t>gia_uu_dai</t>
        </is>
      </c>
    </row>
    <row r="104">
      <c r="A104" s="6" t="inlineStr">
        <is>
          <t>order_income.original_cost_of_goods_sold</t>
        </is>
      </c>
      <c r="B104" s="6" t="n">
        <v>522500</v>
      </c>
      <c r="C104" s="6" t="inlineStr"/>
      <c r="D104" s="6" t="inlineStr"/>
    </row>
    <row r="105">
      <c r="A105" s="4" t="inlineStr">
        <is>
          <t>order_income.original_price</t>
        </is>
      </c>
      <c r="B105" s="4" t="n">
        <v>0</v>
      </c>
      <c r="C105" s="4" t="inlineStr">
        <is>
          <t>CÓ</t>
        </is>
      </c>
      <c r="D105" s="4" t="inlineStr">
        <is>
          <t>gia_goc</t>
        </is>
      </c>
    </row>
    <row r="106">
      <c r="A106" s="6" t="inlineStr">
        <is>
          <t>order_income.original_shopee_discount</t>
        </is>
      </c>
      <c r="B106" s="6" t="n">
        <v>0</v>
      </c>
      <c r="C106" s="6" t="inlineStr"/>
      <c r="D106" s="6" t="inlineStr"/>
    </row>
    <row r="107">
      <c r="A107" s="6" t="inlineStr">
        <is>
          <t>order_income.overseas_return_service_fee</t>
        </is>
      </c>
      <c r="B107" s="6" t="n">
        <v>0</v>
      </c>
      <c r="C107" s="6" t="inlineStr"/>
      <c r="D107" s="6" t="inlineStr"/>
    </row>
    <row r="108">
      <c r="A108" s="6" t="inlineStr">
        <is>
          <t>order_income.payment_promotion</t>
        </is>
      </c>
      <c r="B108" s="6" t="n">
        <v>0</v>
      </c>
      <c r="C108" s="6" t="inlineStr"/>
      <c r="D108" s="6" t="inlineStr"/>
    </row>
    <row r="109">
      <c r="A109" s="6" t="inlineStr">
        <is>
          <t>order_income.pix_discount</t>
        </is>
      </c>
      <c r="B109" s="6" t="n">
        <v>0</v>
      </c>
      <c r="C109" s="6" t="inlineStr"/>
      <c r="D109" s="6" t="inlineStr"/>
    </row>
    <row r="110">
      <c r="A110" s="9" t="inlineStr">
        <is>
          <t>order_income.prorated_coins_value_offset_return_items</t>
        </is>
      </c>
      <c r="B110" s="6" t="n">
        <v>0</v>
      </c>
      <c r="C110" s="6" t="inlineStr"/>
      <c r="D110" s="6" t="inlineStr"/>
    </row>
    <row r="111">
      <c r="A111" s="9" t="inlineStr">
        <is>
          <t>order_income.prorated_payment_channel_promo_bank_offset_return_items</t>
        </is>
      </c>
      <c r="B111" s="6" t="n">
        <v>0</v>
      </c>
      <c r="C111" s="6" t="inlineStr"/>
      <c r="D111" s="6" t="inlineStr"/>
    </row>
    <row r="112">
      <c r="A112" s="9" t="inlineStr">
        <is>
          <t>order_income.prorated_payment_channel_promo_shopee_offset_return_items</t>
        </is>
      </c>
      <c r="B112" s="6" t="n">
        <v>0</v>
      </c>
      <c r="C112" s="6" t="inlineStr"/>
      <c r="D112" s="6" t="inlineStr"/>
    </row>
    <row r="113">
      <c r="A113" s="9" t="inlineStr">
        <is>
          <t>order_income.prorated_pix_discount_offset_return_items</t>
        </is>
      </c>
      <c r="B113" s="6" t="n">
        <v>0</v>
      </c>
      <c r="C113" s="6" t="inlineStr"/>
      <c r="D113" s="6" t="inlineStr"/>
    </row>
    <row r="114">
      <c r="A114" s="9" t="inlineStr">
        <is>
          <t>order_income.prorated_seller_voucher_offset_return_items</t>
        </is>
      </c>
      <c r="B114" s="6" t="n">
        <v>0</v>
      </c>
      <c r="C114" s="6" t="inlineStr"/>
      <c r="D114" s="6" t="inlineStr"/>
    </row>
    <row r="115">
      <c r="A115" s="9" t="inlineStr">
        <is>
          <t>order_income.prorated_shopee_voucher_offset_return_items</t>
        </is>
      </c>
      <c r="B115" s="6" t="n">
        <v>0</v>
      </c>
      <c r="C115" s="6" t="inlineStr"/>
      <c r="D115" s="6" t="inlineStr"/>
    </row>
    <row r="116">
      <c r="A116" s="9" t="inlineStr">
        <is>
          <t>order_income.return_to_seller_shipping_fee_sst</t>
        </is>
      </c>
      <c r="B116" s="6" t="n">
        <v>0</v>
      </c>
      <c r="C116" s="6" t="inlineStr"/>
      <c r="D116" s="6" t="inlineStr"/>
    </row>
    <row r="117">
      <c r="A117" s="6" t="inlineStr">
        <is>
          <t>order_income.reverse_shipping_fee</t>
        </is>
      </c>
      <c r="B117" s="6" t="n">
        <v>40000</v>
      </c>
      <c r="C117" s="6" t="inlineStr"/>
      <c r="D117" s="6" t="inlineStr"/>
    </row>
    <row r="118">
      <c r="A118" s="6" t="inlineStr">
        <is>
          <t>order_income.reverse_shipping_fee_sst</t>
        </is>
      </c>
      <c r="B118" s="6" t="n">
        <v>0</v>
      </c>
      <c r="C118" s="6" t="inlineStr"/>
      <c r="D118" s="6" t="inlineStr"/>
    </row>
    <row r="119">
      <c r="A119" s="9" t="inlineStr">
        <is>
          <t>order_income.rsf_seller_protection_fee_claim_amount</t>
        </is>
      </c>
      <c r="B119" s="6" t="n">
        <v>40000</v>
      </c>
      <c r="C119" s="6" t="inlineStr"/>
      <c r="D119" s="6" t="inlineStr"/>
    </row>
    <row r="120">
      <c r="A120" s="6" t="inlineStr">
        <is>
          <t>order_income.sales_tax_on_lvg</t>
        </is>
      </c>
      <c r="B120" s="6" t="n">
        <v>0</v>
      </c>
      <c r="C120" s="6" t="inlineStr"/>
      <c r="D120" s="6" t="inlineStr"/>
    </row>
    <row r="121">
      <c r="A121" s="6" t="inlineStr">
        <is>
          <t>order_income.seller_coin_cash_back</t>
        </is>
      </c>
      <c r="B121" s="6" t="n">
        <v>0</v>
      </c>
      <c r="C121" s="6" t="inlineStr"/>
      <c r="D121" s="6" t="inlineStr"/>
    </row>
    <row r="122">
      <c r="A122" s="6" t="inlineStr">
        <is>
          <t>order_income.seller_discount</t>
        </is>
      </c>
      <c r="B122" s="6" t="n">
        <v>0</v>
      </c>
      <c r="C122" s="6" t="inlineStr"/>
      <c r="D122" s="6" t="inlineStr"/>
    </row>
    <row r="123">
      <c r="A123" s="6" t="inlineStr">
        <is>
          <t>order_income.seller_lost_compensation</t>
        </is>
      </c>
      <c r="B123" s="6" t="n">
        <v>0</v>
      </c>
      <c r="C123" s="6" t="inlineStr"/>
      <c r="D123" s="6" t="inlineStr"/>
    </row>
    <row r="124">
      <c r="A124" s="6" t="inlineStr">
        <is>
          <t>order_income.seller_order_processing_fee</t>
        </is>
      </c>
      <c r="B124" s="6" t="n">
        <v>0</v>
      </c>
      <c r="C124" s="6" t="inlineStr"/>
      <c r="D124" s="6" t="inlineStr"/>
    </row>
    <row r="125">
      <c r="A125" s="6" t="inlineStr">
        <is>
          <t>order_income.seller_return_refund</t>
        </is>
      </c>
      <c r="B125" s="6" t="n">
        <v>-522500</v>
      </c>
      <c r="C125" s="6" t="inlineStr"/>
      <c r="D125" s="6" t="inlineStr"/>
    </row>
    <row r="126">
      <c r="A126" s="6" t="inlineStr">
        <is>
          <t>order_income.seller_shipping_discount</t>
        </is>
      </c>
      <c r="B126" s="6" t="n">
        <v>0</v>
      </c>
      <c r="C126" s="6" t="inlineStr"/>
      <c r="D126" s="6" t="inlineStr"/>
    </row>
    <row r="127">
      <c r="A127" s="4" t="inlineStr">
        <is>
          <t>order_income.seller_transaction_fee</t>
        </is>
      </c>
      <c r="B127" s="4" t="n">
        <v>0</v>
      </c>
      <c r="C127" s="4" t="inlineStr">
        <is>
          <t>CÓ</t>
        </is>
      </c>
      <c r="D127" s="4" t="inlineStr">
        <is>
          <t>phi_thanh_toan</t>
        </is>
      </c>
    </row>
    <row r="128">
      <c r="A128" s="4" t="inlineStr">
        <is>
          <t>order_income.service_fee</t>
        </is>
      </c>
      <c r="B128" s="4" t="n">
        <v>0</v>
      </c>
      <c r="C128" s="4" t="inlineStr">
        <is>
          <t>CÓ</t>
        </is>
      </c>
      <c r="D128" s="4" t="inlineStr">
        <is>
          <t>phi_dich_vu</t>
        </is>
      </c>
    </row>
    <row r="129">
      <c r="A129" s="9" t="inlineStr">
        <is>
          <t>order_income.shipping_fee_discount_from_3pl</t>
        </is>
      </c>
      <c r="B129" s="6" t="n">
        <v>0</v>
      </c>
      <c r="C129" s="6" t="inlineStr"/>
      <c r="D129" s="6" t="inlineStr"/>
    </row>
    <row r="130">
      <c r="A130" s="6" t="inlineStr">
        <is>
          <t>order_income.shipping_fee_sst</t>
        </is>
      </c>
      <c r="B130" s="6" t="n">
        <v>0</v>
      </c>
      <c r="C130" s="6" t="inlineStr"/>
      <c r="D130" s="6" t="inlineStr"/>
    </row>
    <row r="131">
      <c r="A131" s="9" t="inlineStr">
        <is>
          <t>order_income.shipping_seller_protection_fee_amount</t>
        </is>
      </c>
      <c r="B131" s="6" t="n">
        <v>2700</v>
      </c>
      <c r="C131" s="6" t="inlineStr"/>
      <c r="D131" s="6" t="inlineStr"/>
    </row>
    <row r="132">
      <c r="A132" s="6" t="inlineStr">
        <is>
          <t>order_income.shopee_discount</t>
        </is>
      </c>
      <c r="B132" s="6" t="n">
        <v>0</v>
      </c>
      <c r="C132" s="6" t="inlineStr"/>
      <c r="D132" s="6" t="inlineStr"/>
    </row>
    <row r="133">
      <c r="A133" s="6" t="inlineStr">
        <is>
          <t>order_income.shopee_shipping_rebate</t>
        </is>
      </c>
      <c r="B133" s="6" t="n">
        <v>0</v>
      </c>
      <c r="C133" s="6" t="inlineStr"/>
      <c r="D133" s="6" t="inlineStr"/>
    </row>
    <row r="134">
      <c r="A134" s="6" t="inlineStr">
        <is>
          <t>order_income.tax_registration_code</t>
        </is>
      </c>
      <c r="B134" s="6" t="inlineStr">
        <is>
          <t>0318787420</t>
        </is>
      </c>
      <c r="C134" s="6" t="inlineStr"/>
      <c r="D134" s="6" t="inlineStr"/>
    </row>
    <row r="135">
      <c r="A135" s="9" t="inlineStr">
        <is>
          <t>order_income.tenure_info_list[0].instalment_plan</t>
        </is>
      </c>
      <c r="B135" s="6" t="inlineStr">
        <is>
          <t>N/A</t>
        </is>
      </c>
      <c r="C135" s="6" t="inlineStr"/>
      <c r="D135" s="6" t="inlineStr"/>
    </row>
    <row r="136">
      <c r="A136" s="6" t="inlineStr">
        <is>
          <t>order_income.th_import_duty</t>
        </is>
      </c>
      <c r="B136" s="6" t="n">
        <v>0</v>
      </c>
      <c r="C136" s="6" t="inlineStr"/>
      <c r="D136" s="6" t="inlineStr"/>
    </row>
    <row r="137">
      <c r="A137" s="6" t="inlineStr">
        <is>
          <t>order_income.total_adjustment_amount</t>
        </is>
      </c>
      <c r="B137" s="6" t="n">
        <v>0</v>
      </c>
      <c r="C137" s="6" t="inlineStr"/>
      <c r="D137" s="6" t="inlineStr"/>
    </row>
    <row r="138">
      <c r="A138" s="6" t="inlineStr">
        <is>
          <t>order_income.trade_in_bonus_by_seller</t>
        </is>
      </c>
      <c r="B138" s="6" t="n">
        <v>0</v>
      </c>
      <c r="C138" s="6" t="inlineStr"/>
      <c r="D138" s="6" t="inlineStr"/>
    </row>
    <row r="139">
      <c r="A139" s="6" t="inlineStr">
        <is>
          <t>order_income.vat_on_imported_goods</t>
        </is>
      </c>
      <c r="B139" s="6" t="n">
        <v>0</v>
      </c>
      <c r="C139" s="6" t="inlineStr"/>
      <c r="D139" s="6" t="inlineStr"/>
    </row>
    <row r="140">
      <c r="A140" s="6" t="inlineStr">
        <is>
          <t>order_income.voucher_from_external_party</t>
        </is>
      </c>
      <c r="B140" s="6" t="n">
        <v>0</v>
      </c>
      <c r="C140" s="6" t="inlineStr"/>
      <c r="D140" s="6" t="inlineStr"/>
    </row>
    <row r="141">
      <c r="A141" s="4" t="inlineStr">
        <is>
          <t>order_income.voucher_from_seller</t>
        </is>
      </c>
      <c r="B141" s="4" t="n">
        <v>0</v>
      </c>
      <c r="C141" s="4" t="inlineStr">
        <is>
          <t>CÓ</t>
        </is>
      </c>
      <c r="D141" s="4" t="inlineStr">
        <is>
          <t>tong_so_tien_duoc_nguoi_ban_tro_gia</t>
        </is>
      </c>
    </row>
    <row r="142">
      <c r="A142" s="4" t="inlineStr">
        <is>
          <t>order_income.voucher_from_shopee</t>
        </is>
      </c>
      <c r="B142" s="4" t="n">
        <v>0</v>
      </c>
      <c r="C142" s="4" t="inlineStr">
        <is>
          <t>CÓ</t>
        </is>
      </c>
      <c r="D142" s="4" t="inlineStr">
        <is>
          <t>duoc_shopee_tro_gia</t>
        </is>
      </c>
    </row>
    <row r="143">
      <c r="A143" s="6" t="inlineStr">
        <is>
          <t>order_income.withholding_cit_tax</t>
        </is>
      </c>
      <c r="B143" s="6" t="n">
        <v>0</v>
      </c>
      <c r="C143" s="6" t="inlineStr"/>
      <c r="D143" s="6" t="inlineStr"/>
    </row>
    <row r="144">
      <c r="A144" s="6" t="inlineStr">
        <is>
          <t>order_income.withholding_pit_tax</t>
        </is>
      </c>
      <c r="B144" s="6" t="n">
        <v>0</v>
      </c>
      <c r="C144" s="6" t="inlineStr"/>
      <c r="D144" s="6" t="inlineStr"/>
    </row>
    <row r="145">
      <c r="A145" s="6" t="inlineStr">
        <is>
          <t>order_income.withholding_tax</t>
        </is>
      </c>
      <c r="B145" s="6" t="n">
        <v>0</v>
      </c>
      <c r="C145" s="6" t="inlineStr"/>
      <c r="D145" s="6" t="inlineStr"/>
    </row>
    <row r="146">
      <c r="A146" s="6" t="inlineStr">
        <is>
          <t>order_income.withholding_vat_tax</t>
        </is>
      </c>
      <c r="B146" s="6" t="n">
        <v>0</v>
      </c>
      <c r="C146" s="6" t="inlineStr"/>
      <c r="D146" s="6" t="inlineStr"/>
    </row>
    <row r="147">
      <c r="A147" s="6" t="inlineStr">
        <is>
          <t>order_sn</t>
        </is>
      </c>
      <c r="B147" s="6" t="inlineStr">
        <is>
          <t>260617AMH1GPU2</t>
        </is>
      </c>
      <c r="C147" s="6" t="inlineStr"/>
      <c r="D147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6" customWidth="1" min="3" max="3"/>
    <col width="9" customWidth="1" min="4" max="4"/>
    <col width="10" customWidth="1" min="5" max="5"/>
    <col width="26" customWidth="1" min="6" max="6"/>
    <col width="25" customWidth="1" min="7" max="7"/>
    <col width="20" customWidth="1" min="8" max="8"/>
    <col width="15" customWidth="1" min="9" max="9"/>
  </cols>
  <sheetData>
    <row r="1" ht="34" customHeight="1">
      <c r="A1" s="1" t="inlineStr">
        <is>
          <t>Mã đơn</t>
        </is>
      </c>
      <c r="B1" s="1" t="inlineStr">
        <is>
          <t>Ngày đặt</t>
        </is>
      </c>
      <c r="C1" s="1" t="inlineStr">
        <is>
          <t>SKU đầu</t>
        </is>
      </c>
      <c r="D1" s="1" t="inlineStr">
        <is>
          <t>Số dòng</t>
        </is>
      </c>
      <c r="E1" s="1" t="inlineStr">
        <is>
          <t>Số lượng</t>
        </is>
      </c>
      <c r="F1" s="1" t="inlineStr">
        <is>
          <t>Doanh thu app đang tính (đ)</t>
        </is>
      </c>
      <c r="G1" s="1" t="inlineStr">
        <is>
          <t>Tiền Shopee thực trả (đ)</t>
        </is>
      </c>
      <c r="H1" s="1" t="inlineStr">
        <is>
          <t>Chênh lệch (đ)</t>
        </is>
      </c>
      <c r="I1" s="1" t="inlineStr">
        <is>
          <t>Loại</t>
        </is>
      </c>
    </row>
    <row r="2">
      <c r="A2" s="2" t="inlineStr">
        <is>
          <t>251010N6Q3AJ6D</t>
        </is>
      </c>
      <c r="B2" s="2" t="inlineStr">
        <is>
          <t>2025-10-10</t>
        </is>
      </c>
      <c r="C2" s="2" t="inlineStr">
        <is>
          <t>BLA002004</t>
        </is>
      </c>
      <c r="D2" s="2" t="n">
        <v>1</v>
      </c>
      <c r="E2" s="2" t="n">
        <v>1</v>
      </c>
      <c r="F2" s="10" t="n">
        <v>1079700</v>
      </c>
      <c r="G2" s="10" t="n">
        <v>-118279</v>
      </c>
      <c r="H2" s="10">
        <f>G2-F2</f>
        <v/>
      </c>
      <c r="I2" s="2" t="inlineStr">
        <is>
          <t>Ký quỹ ÂM</t>
        </is>
      </c>
    </row>
    <row r="3">
      <c r="A3" s="2" t="inlineStr">
        <is>
          <t>2504258HVXQNQC</t>
        </is>
      </c>
      <c r="B3" s="2" t="inlineStr">
        <is>
          <t>2025-04-25</t>
        </is>
      </c>
      <c r="C3" s="2" t="inlineStr">
        <is>
          <t>BLA001003</t>
        </is>
      </c>
      <c r="D3" s="2" t="n">
        <v>2</v>
      </c>
      <c r="E3" s="2" t="n">
        <v>2</v>
      </c>
      <c r="F3" s="10" t="n">
        <v>840000</v>
      </c>
      <c r="G3" s="10" t="n">
        <v>-82918</v>
      </c>
      <c r="H3" s="10">
        <f>G3-F3</f>
        <v/>
      </c>
      <c r="I3" s="2" t="inlineStr">
        <is>
          <t>Ký quỹ ÂM</t>
        </is>
      </c>
    </row>
    <row r="4">
      <c r="A4" s="2" t="inlineStr">
        <is>
          <t>250607VQ0JJD5V</t>
        </is>
      </c>
      <c r="B4" s="2" t="inlineStr">
        <is>
          <t>2025-06-07</t>
        </is>
      </c>
      <c r="C4" s="2" t="inlineStr">
        <is>
          <t>BLA001001</t>
        </is>
      </c>
      <c r="D4" s="2" t="n">
        <v>1</v>
      </c>
      <c r="E4" s="2" t="n">
        <v>1</v>
      </c>
      <c r="F4" s="10" t="n">
        <v>478800</v>
      </c>
      <c r="G4" s="10" t="n">
        <v>-63588</v>
      </c>
      <c r="H4" s="10">
        <f>G4-F4</f>
        <v/>
      </c>
      <c r="I4" s="2" t="inlineStr">
        <is>
          <t>Ký quỹ ÂM</t>
        </is>
      </c>
    </row>
    <row r="5">
      <c r="A5" s="2" t="inlineStr">
        <is>
          <t>2507024SRS6A7M</t>
        </is>
      </c>
      <c r="B5" s="2" t="inlineStr">
        <is>
          <t>2025-07-02</t>
        </is>
      </c>
      <c r="C5" s="2" t="inlineStr">
        <is>
          <t>BLA001004</t>
        </is>
      </c>
      <c r="D5" s="2" t="n">
        <v>1</v>
      </c>
      <c r="E5" s="2" t="n">
        <v>1</v>
      </c>
      <c r="F5" s="10" t="n">
        <v>450300</v>
      </c>
      <c r="G5" s="10" t="n">
        <v>-61535</v>
      </c>
      <c r="H5" s="10">
        <f>G5-F5</f>
        <v/>
      </c>
      <c r="I5" s="2" t="inlineStr">
        <is>
          <t>Ký quỹ ÂM</t>
        </is>
      </c>
    </row>
    <row r="6">
      <c r="A6" s="2" t="inlineStr">
        <is>
          <t>251115RDXAP6CF</t>
        </is>
      </c>
      <c r="B6" s="2" t="inlineStr">
        <is>
          <t>2025-11-15</t>
        </is>
      </c>
      <c r="C6" s="2" t="inlineStr">
        <is>
          <t>BLA001007</t>
        </is>
      </c>
      <c r="D6" s="2" t="n">
        <v>1</v>
      </c>
      <c r="E6" s="2" t="n">
        <v>1</v>
      </c>
      <c r="F6" s="10" t="n">
        <v>475000</v>
      </c>
      <c r="G6" s="10" t="n">
        <v>-58320</v>
      </c>
      <c r="H6" s="10">
        <f>G6-F6</f>
        <v/>
      </c>
      <c r="I6" s="2" t="inlineStr">
        <is>
          <t>Ký quỹ ÂM</t>
        </is>
      </c>
    </row>
    <row r="7">
      <c r="A7" s="2" t="inlineStr">
        <is>
          <t>250729EJDCPPPS</t>
        </is>
      </c>
      <c r="B7" s="2" t="inlineStr">
        <is>
          <t>2025-07-29</t>
        </is>
      </c>
      <c r="C7" s="2" t="inlineStr">
        <is>
          <t>SET002005</t>
        </is>
      </c>
      <c r="D7" s="2" t="n">
        <v>1</v>
      </c>
      <c r="E7" s="2" t="n">
        <v>1</v>
      </c>
      <c r="F7" s="10" t="n">
        <v>396000</v>
      </c>
      <c r="G7" s="10" t="n">
        <v>-55508</v>
      </c>
      <c r="H7" s="10">
        <f>G7-F7</f>
        <v/>
      </c>
      <c r="I7" s="2" t="inlineStr">
        <is>
          <t>Ký quỹ ÂM</t>
        </is>
      </c>
    </row>
    <row r="8">
      <c r="A8" s="2" t="inlineStr">
        <is>
          <t>251009MUFCHUWH</t>
        </is>
      </c>
      <c r="B8" s="2" t="inlineStr">
        <is>
          <t>2025-10-09</t>
        </is>
      </c>
      <c r="C8" s="2" t="inlineStr">
        <is>
          <t>PIL001002</t>
        </is>
      </c>
      <c r="D8" s="2" t="n">
        <v>1</v>
      </c>
      <c r="E8" s="2" t="n">
        <v>1</v>
      </c>
      <c r="F8" s="10" t="n">
        <v>312000</v>
      </c>
      <c r="G8" s="10" t="n">
        <v>-41246</v>
      </c>
      <c r="H8" s="10">
        <f>G8-F8</f>
        <v/>
      </c>
      <c r="I8" s="2" t="inlineStr">
        <is>
          <t>Ký quỹ ÂM</t>
        </is>
      </c>
    </row>
    <row r="9">
      <c r="A9" s="2" t="inlineStr">
        <is>
          <t>250420QWE9HWNA</t>
        </is>
      </c>
      <c r="B9" s="2" t="inlineStr">
        <is>
          <t>2025-04-20</t>
        </is>
      </c>
      <c r="C9" s="2" t="inlineStr">
        <is>
          <t>BLA001002</t>
        </is>
      </c>
      <c r="D9" s="2" t="n">
        <v>2</v>
      </c>
      <c r="E9" s="2" t="n">
        <v>2</v>
      </c>
      <c r="F9" s="10" t="n">
        <v>957600</v>
      </c>
      <c r="G9" s="10" t="n">
        <v>-40000</v>
      </c>
      <c r="H9" s="10">
        <f>G9-F9</f>
        <v/>
      </c>
      <c r="I9" s="2" t="inlineStr">
        <is>
          <t>Ký quỹ ÂM</t>
        </is>
      </c>
    </row>
    <row r="10">
      <c r="A10" s="2" t="inlineStr">
        <is>
          <t>25042585HN727U</t>
        </is>
      </c>
      <c r="B10" s="2" t="inlineStr">
        <is>
          <t>2025-04-25</t>
        </is>
      </c>
      <c r="C10" s="2" t="inlineStr">
        <is>
          <t>SET002006</t>
        </is>
      </c>
      <c r="D10" s="2" t="n">
        <v>2</v>
      </c>
      <c r="E10" s="2" t="n">
        <v>2</v>
      </c>
      <c r="F10" s="10" t="n">
        <v>720000</v>
      </c>
      <c r="G10" s="10" t="n">
        <v>-40000</v>
      </c>
      <c r="H10" s="10">
        <f>G10-F10</f>
        <v/>
      </c>
      <c r="I10" s="2" t="inlineStr">
        <is>
          <t>Ký quỹ ÂM</t>
        </is>
      </c>
    </row>
    <row r="11">
      <c r="A11" s="2" t="inlineStr">
        <is>
          <t>250418JJGJS9TF</t>
        </is>
      </c>
      <c r="B11" s="2" t="inlineStr">
        <is>
          <t>2025-04-18</t>
        </is>
      </c>
      <c r="C11" s="2" t="inlineStr">
        <is>
          <t>BLA001004</t>
        </is>
      </c>
      <c r="D11" s="2" t="n">
        <v>2</v>
      </c>
      <c r="E11" s="2" t="n">
        <v>2</v>
      </c>
      <c r="F11" s="10" t="n">
        <v>957600</v>
      </c>
      <c r="G11" s="10" t="n">
        <v>-40000</v>
      </c>
      <c r="H11" s="10">
        <f>G11-F11</f>
        <v/>
      </c>
      <c r="I11" s="2" t="inlineStr">
        <is>
          <t>Ký quỹ ÂM</t>
        </is>
      </c>
    </row>
    <row r="12">
      <c r="A12" s="2" t="inlineStr">
        <is>
          <t>2508282M8RBKKA</t>
        </is>
      </c>
      <c r="B12" s="2" t="inlineStr">
        <is>
          <t>2025-08-28</t>
        </is>
      </c>
      <c r="C12" s="2" t="inlineStr">
        <is>
          <t>BLA001006</t>
        </is>
      </c>
      <c r="D12" s="2" t="n">
        <v>1</v>
      </c>
      <c r="E12" s="2" t="n">
        <v>1</v>
      </c>
      <c r="F12" s="10" t="n">
        <v>495000</v>
      </c>
      <c r="G12" s="10" t="n">
        <v>-33455</v>
      </c>
      <c r="H12" s="10">
        <f>G12-F12</f>
        <v/>
      </c>
      <c r="I12" s="2" t="inlineStr">
        <is>
          <t>Ký quỹ ÂM</t>
        </is>
      </c>
    </row>
    <row r="13">
      <c r="A13" s="2" t="inlineStr">
        <is>
          <t>260426SJNE2EST</t>
        </is>
      </c>
      <c r="B13" s="2" t="inlineStr">
        <is>
          <t>2026-04-26</t>
        </is>
      </c>
      <c r="C13" s="2" t="inlineStr">
        <is>
          <t>BLA001009</t>
        </is>
      </c>
      <c r="D13" s="2" t="n">
        <v>1</v>
      </c>
      <c r="E13" s="2" t="n">
        <v>1</v>
      </c>
      <c r="F13" s="10" t="n">
        <v>446500</v>
      </c>
      <c r="G13" s="10" t="n">
        <v>-26226</v>
      </c>
      <c r="H13" s="10">
        <f>G13-F13</f>
        <v/>
      </c>
      <c r="I13" s="2" t="inlineStr">
        <is>
          <t>Ký quỹ ÂM</t>
        </is>
      </c>
    </row>
    <row r="14">
      <c r="A14" s="2" t="inlineStr">
        <is>
          <t>26041869E7YQNX</t>
        </is>
      </c>
      <c r="B14" s="2" t="inlineStr">
        <is>
          <t>2026-04-18</t>
        </is>
      </c>
      <c r="C14" s="2" t="inlineStr">
        <is>
          <t>BLA001008</t>
        </is>
      </c>
      <c r="D14" s="2" t="n">
        <v>1</v>
      </c>
      <c r="E14" s="2" t="n">
        <v>1</v>
      </c>
      <c r="F14" s="10" t="n">
        <v>446500</v>
      </c>
      <c r="G14" s="10" t="n">
        <v>-25107</v>
      </c>
      <c r="H14" s="10">
        <f>G14-F14</f>
        <v/>
      </c>
      <c r="I14" s="2" t="inlineStr">
        <is>
          <t>Ký quỹ ÂM</t>
        </is>
      </c>
    </row>
    <row r="15">
      <c r="A15" s="2" t="inlineStr">
        <is>
          <t>260607DGFJHU0P</t>
        </is>
      </c>
      <c r="B15" s="2" t="inlineStr">
        <is>
          <t>2026-06-06</t>
        </is>
      </c>
      <c r="C15" s="2" t="inlineStr">
        <is>
          <t>BLA001007</t>
        </is>
      </c>
      <c r="D15" s="2" t="n">
        <v>1</v>
      </c>
      <c r="E15" s="2" t="n">
        <v>1</v>
      </c>
      <c r="F15" s="10" t="n">
        <v>418000</v>
      </c>
      <c r="G15" s="10" t="n">
        <v>-24114</v>
      </c>
      <c r="H15" s="10">
        <f>G15-F15</f>
        <v/>
      </c>
      <c r="I15" s="2" t="inlineStr">
        <is>
          <t>Ký quỹ ÂM</t>
        </is>
      </c>
    </row>
    <row r="16">
      <c r="A16" s="2" t="inlineStr">
        <is>
          <t>260807NEUMCNE3</t>
        </is>
      </c>
      <c r="B16" s="2" t="inlineStr">
        <is>
          <t>2026-08-07</t>
        </is>
      </c>
      <c r="C16" s="2" t="inlineStr">
        <is>
          <t>BLA001001</t>
        </is>
      </c>
      <c r="D16" s="2" t="n">
        <v>4</v>
      </c>
      <c r="E16" s="2" t="n">
        <v>4</v>
      </c>
      <c r="F16" s="10" t="n">
        <v>3300000</v>
      </c>
      <c r="G16" s="10" t="n">
        <v>-20880</v>
      </c>
      <c r="H16" s="10">
        <f>G16-F16</f>
        <v/>
      </c>
      <c r="I16" s="2" t="inlineStr">
        <is>
          <t>Ký quỹ ÂM</t>
        </is>
      </c>
    </row>
    <row r="17">
      <c r="A17" s="2" t="inlineStr">
        <is>
          <t>2603156Q3QW8HR</t>
        </is>
      </c>
      <c r="B17" s="2" t="inlineStr">
        <is>
          <t>2026-03-15</t>
        </is>
      </c>
      <c r="C17" s="2" t="inlineStr">
        <is>
          <t>BLA001010</t>
        </is>
      </c>
      <c r="D17" s="2" t="n">
        <v>1</v>
      </c>
      <c r="E17" s="2" t="n">
        <v>1</v>
      </c>
      <c r="F17" s="10" t="n">
        <v>380000</v>
      </c>
      <c r="G17" s="10" t="n">
        <v>-11554</v>
      </c>
      <c r="H17" s="10">
        <f>G17-F17</f>
        <v/>
      </c>
      <c r="I17" s="2" t="inlineStr">
        <is>
          <t>Ký quỹ ÂM</t>
        </is>
      </c>
    </row>
    <row r="18">
      <c r="A18" s="2" t="inlineStr">
        <is>
          <t>2603240K94VPS2</t>
        </is>
      </c>
      <c r="B18" s="2" t="inlineStr">
        <is>
          <t>2026-03-24</t>
        </is>
      </c>
      <c r="C18" s="2" t="inlineStr">
        <is>
          <t>ACC001021</t>
        </is>
      </c>
      <c r="D18" s="2" t="n">
        <v>1</v>
      </c>
      <c r="E18" s="2" t="n">
        <v>2</v>
      </c>
      <c r="F18" s="10" t="n">
        <v>2856400</v>
      </c>
      <c r="G18" s="10" t="n">
        <v>-6535</v>
      </c>
      <c r="H18" s="10">
        <f>G18-F18</f>
        <v/>
      </c>
      <c r="I18" s="2" t="inlineStr">
        <is>
          <t>Ký quỹ ÂM</t>
        </is>
      </c>
    </row>
    <row r="19">
      <c r="A19" s="2" t="inlineStr">
        <is>
          <t>260821VFPVTU7G</t>
        </is>
      </c>
      <c r="B19" s="2" t="inlineStr">
        <is>
          <t>2026-08-21</t>
        </is>
      </c>
      <c r="C19" s="2" t="inlineStr">
        <is>
          <t>BLA001004</t>
        </is>
      </c>
      <c r="D19" s="2" t="n">
        <v>1</v>
      </c>
      <c r="E19" s="2" t="n">
        <v>1</v>
      </c>
      <c r="F19" s="10" t="n">
        <v>956250</v>
      </c>
      <c r="G19" s="10" t="n">
        <v>-5700</v>
      </c>
      <c r="H19" s="10">
        <f>G19-F19</f>
        <v/>
      </c>
      <c r="I19" s="2" t="inlineStr">
        <is>
          <t>Ký quỹ ÂM</t>
        </is>
      </c>
    </row>
    <row r="20">
      <c r="A20" s="2" t="inlineStr">
        <is>
          <t>260214NVD9B867</t>
        </is>
      </c>
      <c r="B20" s="2" t="inlineStr">
        <is>
          <t>2026-02-14</t>
        </is>
      </c>
      <c r="C20" s="2" t="inlineStr">
        <is>
          <t>BLA001007</t>
        </is>
      </c>
      <c r="D20" s="2" t="n">
        <v>1</v>
      </c>
      <c r="E20" s="2" t="n">
        <v>1</v>
      </c>
      <c r="F20" s="10" t="n">
        <v>950000</v>
      </c>
      <c r="G20" s="10" t="n">
        <v>-4866</v>
      </c>
      <c r="H20" s="10">
        <f>G20-F20</f>
        <v/>
      </c>
      <c r="I20" s="2" t="inlineStr">
        <is>
          <t>Ký quỹ ÂM</t>
        </is>
      </c>
    </row>
    <row r="21">
      <c r="A21" s="2" t="inlineStr">
        <is>
          <t>260319GTQ29FJW</t>
        </is>
      </c>
      <c r="B21" s="2" t="inlineStr">
        <is>
          <t>2026-03-19</t>
        </is>
      </c>
      <c r="C21" s="2" t="inlineStr">
        <is>
          <t>BLA001010</t>
        </is>
      </c>
      <c r="D21" s="2" t="n">
        <v>1</v>
      </c>
      <c r="E21" s="2" t="n">
        <v>1</v>
      </c>
      <c r="F21" s="10" t="n">
        <v>484500</v>
      </c>
      <c r="G21" s="10" t="n">
        <v>-4866</v>
      </c>
      <c r="H21" s="10">
        <f>G21-F21</f>
        <v/>
      </c>
      <c r="I21" s="2" t="inlineStr">
        <is>
          <t>Ký quỹ ÂM</t>
        </is>
      </c>
    </row>
    <row r="22">
      <c r="A22" s="2" t="inlineStr">
        <is>
          <t>2603265SMSMNFS</t>
        </is>
      </c>
      <c r="B22" s="2" t="inlineStr">
        <is>
          <t>2026-03-26</t>
        </is>
      </c>
      <c r="C22" s="2" t="inlineStr">
        <is>
          <t>BLA001009</t>
        </is>
      </c>
      <c r="D22" s="2" t="n">
        <v>1</v>
      </c>
      <c r="E22" s="2" t="n">
        <v>1</v>
      </c>
      <c r="F22" s="10" t="n">
        <v>484500</v>
      </c>
      <c r="G22" s="10" t="n">
        <v>-4620</v>
      </c>
      <c r="H22" s="10">
        <f>G22-F22</f>
        <v/>
      </c>
      <c r="I22" s="2" t="inlineStr">
        <is>
          <t>Ký quỹ ÂM</t>
        </is>
      </c>
    </row>
    <row r="23">
      <c r="A23" s="2" t="inlineStr">
        <is>
          <t>260306E2K1TXDE</t>
        </is>
      </c>
      <c r="B23" s="2" t="inlineStr">
        <is>
          <t>2026-03-06</t>
        </is>
      </c>
      <c r="C23" s="2" t="inlineStr">
        <is>
          <t>BLA001009</t>
        </is>
      </c>
      <c r="D23" s="2" t="n">
        <v>1</v>
      </c>
      <c r="E23" s="2" t="n">
        <v>1</v>
      </c>
      <c r="F23" s="10" t="n">
        <v>418000</v>
      </c>
      <c r="G23" s="10" t="n">
        <v>-4620</v>
      </c>
      <c r="H23" s="10">
        <f>G23-F23</f>
        <v/>
      </c>
      <c r="I23" s="2" t="inlineStr">
        <is>
          <t>Ký quỹ ÂM</t>
        </is>
      </c>
    </row>
    <row r="24">
      <c r="A24" s="2" t="inlineStr">
        <is>
          <t>260224HST4G7WE</t>
        </is>
      </c>
      <c r="B24" s="2" t="inlineStr">
        <is>
          <t>2026-02-24</t>
        </is>
      </c>
      <c r="C24" s="2" t="inlineStr">
        <is>
          <t>BLA001006</t>
        </is>
      </c>
      <c r="D24" s="2" t="n">
        <v>1</v>
      </c>
      <c r="E24" s="2" t="n">
        <v>1</v>
      </c>
      <c r="F24" s="10" t="n">
        <v>712500</v>
      </c>
      <c r="G24" s="10" t="n">
        <v>-4620</v>
      </c>
      <c r="H24" s="10">
        <f>G24-F24</f>
        <v/>
      </c>
      <c r="I24" s="2" t="inlineStr">
        <is>
          <t>Ký quỹ ÂM</t>
        </is>
      </c>
    </row>
    <row r="25">
      <c r="A25" s="2" t="inlineStr">
        <is>
          <t>260212HPA5KFH2</t>
        </is>
      </c>
      <c r="B25" s="2" t="inlineStr">
        <is>
          <t>2026-02-12</t>
        </is>
      </c>
      <c r="C25" s="2" t="inlineStr">
        <is>
          <t>BLA001007</t>
        </is>
      </c>
      <c r="D25" s="2" t="n">
        <v>1</v>
      </c>
      <c r="E25" s="2" t="n">
        <v>1</v>
      </c>
      <c r="F25" s="10" t="n">
        <v>950000</v>
      </c>
      <c r="G25" s="10" t="n">
        <v>-4620</v>
      </c>
      <c r="H25" s="10">
        <f>G25-F25</f>
        <v/>
      </c>
      <c r="I25" s="2" t="inlineStr">
        <is>
          <t>Ký quỹ ÂM</t>
        </is>
      </c>
    </row>
    <row r="26">
      <c r="A26" s="2" t="inlineStr">
        <is>
          <t>2604064TFFUW1F</t>
        </is>
      </c>
      <c r="B26" s="2" t="inlineStr">
        <is>
          <t>2026-04-06</t>
        </is>
      </c>
      <c r="C26" s="2" t="inlineStr">
        <is>
          <t>BLA001010</t>
        </is>
      </c>
      <c r="D26" s="2" t="n">
        <v>1</v>
      </c>
      <c r="E26" s="2" t="n">
        <v>1</v>
      </c>
      <c r="F26" s="10" t="n">
        <v>475000</v>
      </c>
      <c r="G26" s="10" t="n">
        <v>-4620</v>
      </c>
      <c r="H26" s="10">
        <f>G26-F26</f>
        <v/>
      </c>
      <c r="I26" s="2" t="inlineStr">
        <is>
          <t>Ký quỹ ÂM</t>
        </is>
      </c>
    </row>
    <row r="27">
      <c r="A27" s="2" t="inlineStr">
        <is>
          <t>2602073S9W19DS</t>
        </is>
      </c>
      <c r="B27" s="2" t="inlineStr">
        <is>
          <t>2026-02-07</t>
        </is>
      </c>
      <c r="C27" s="2" t="inlineStr">
        <is>
          <t>SET003003</t>
        </is>
      </c>
      <c r="D27" s="2" t="n">
        <v>2</v>
      </c>
      <c r="E27" s="2" t="n">
        <v>2</v>
      </c>
      <c r="F27" s="10" t="n">
        <v>1540000</v>
      </c>
      <c r="G27" s="10" t="n">
        <v>-3000</v>
      </c>
      <c r="H27" s="10">
        <f>G27-F27</f>
        <v/>
      </c>
      <c r="I27" s="2" t="inlineStr">
        <is>
          <t>Ký quỹ ÂM</t>
        </is>
      </c>
    </row>
    <row r="28">
      <c r="A28" s="2" t="inlineStr">
        <is>
          <t>260110NRJ8JXY7</t>
        </is>
      </c>
      <c r="B28" s="2" t="inlineStr">
        <is>
          <t>2026-01-10</t>
        </is>
      </c>
      <c r="C28" s="2" t="inlineStr">
        <is>
          <t>SET003001</t>
        </is>
      </c>
      <c r="D28" s="2" t="n">
        <v>1</v>
      </c>
      <c r="E28" s="2" t="n">
        <v>1</v>
      </c>
      <c r="F28" s="10" t="n">
        <v>562500</v>
      </c>
      <c r="G28" s="10" t="n">
        <v>-3000</v>
      </c>
      <c r="H28" s="10">
        <f>G28-F28</f>
        <v/>
      </c>
      <c r="I28" s="2" t="inlineStr">
        <is>
          <t>Ký quỹ ÂM</t>
        </is>
      </c>
    </row>
    <row r="29">
      <c r="A29" s="2" t="inlineStr">
        <is>
          <t>260617AMH1GPU2</t>
        </is>
      </c>
      <c r="B29" s="2" t="inlineStr">
        <is>
          <t>2026-06-17</t>
        </is>
      </c>
      <c r="C29" s="2" t="inlineStr">
        <is>
          <t>BLA001008</t>
        </is>
      </c>
      <c r="D29" s="2" t="n">
        <v>1</v>
      </c>
      <c r="E29" s="2" t="n">
        <v>1</v>
      </c>
      <c r="F29" s="10" t="n">
        <v>522500</v>
      </c>
      <c r="G29" s="10" t="n">
        <v>-2700</v>
      </c>
      <c r="H29" s="10">
        <f>G29-F29</f>
        <v/>
      </c>
      <c r="I29" s="2" t="inlineStr">
        <is>
          <t>Ký quỹ ÂM</t>
        </is>
      </c>
    </row>
    <row r="30">
      <c r="A30" s="2" t="inlineStr">
        <is>
          <t>26062653XRGT9R</t>
        </is>
      </c>
      <c r="B30" s="2" t="inlineStr">
        <is>
          <t>2026-06-26</t>
        </is>
      </c>
      <c r="C30" s="2" t="inlineStr">
        <is>
          <t>BLA001001</t>
        </is>
      </c>
      <c r="D30" s="2" t="n">
        <v>2</v>
      </c>
      <c r="E30" s="2" t="n">
        <v>2</v>
      </c>
      <c r="F30" s="10" t="n">
        <v>1875000</v>
      </c>
      <c r="G30" s="10" t="n">
        <v>-2700</v>
      </c>
      <c r="H30" s="10">
        <f>G30-F30</f>
        <v/>
      </c>
      <c r="I30" s="2" t="inlineStr">
        <is>
          <t>Ký quỹ ÂM</t>
        </is>
      </c>
    </row>
    <row r="31">
      <c r="A31" s="2" t="inlineStr">
        <is>
          <t>2606168BUSY1NE</t>
        </is>
      </c>
      <c r="B31" s="2" t="inlineStr">
        <is>
          <t>2026-06-16</t>
        </is>
      </c>
      <c r="C31" s="2" t="inlineStr">
        <is>
          <t>BLA001010</t>
        </is>
      </c>
      <c r="D31" s="2" t="n">
        <v>2</v>
      </c>
      <c r="E31" s="2" t="n">
        <v>2</v>
      </c>
      <c r="F31" s="10" t="n">
        <v>4575000</v>
      </c>
      <c r="G31" s="10" t="n">
        <v>-2700</v>
      </c>
      <c r="H31" s="10">
        <f>G31-F31</f>
        <v/>
      </c>
      <c r="I31" s="2" t="inlineStr">
        <is>
          <t>Ký quỹ ÂM</t>
        </is>
      </c>
    </row>
    <row r="32">
      <c r="A32" s="2" t="inlineStr">
        <is>
          <t>260805JHQW5YRB</t>
        </is>
      </c>
      <c r="B32" s="2" t="inlineStr">
        <is>
          <t>2026-08-05</t>
        </is>
      </c>
      <c r="C32" s="2" t="inlineStr">
        <is>
          <t>SET003001</t>
        </is>
      </c>
      <c r="D32" s="2" t="n">
        <v>1</v>
      </c>
      <c r="E32" s="2" t="n">
        <v>1</v>
      </c>
      <c r="F32" s="10" t="n">
        <v>495000</v>
      </c>
      <c r="G32" s="10" t="n">
        <v>-2700</v>
      </c>
      <c r="H32" s="10">
        <f>G32-F32</f>
        <v/>
      </c>
      <c r="I32" s="2" t="inlineStr">
        <is>
          <t>Ký quỹ ÂM</t>
        </is>
      </c>
    </row>
    <row r="33">
      <c r="A33" s="2" t="inlineStr">
        <is>
          <t>260715PQC60580</t>
        </is>
      </c>
      <c r="B33" s="2" t="inlineStr">
        <is>
          <t>2026-07-15</t>
        </is>
      </c>
      <c r="C33" s="2" t="inlineStr">
        <is>
          <t>BLA001005</t>
        </is>
      </c>
      <c r="D33" s="2" t="n">
        <v>1</v>
      </c>
      <c r="E33" s="2" t="n">
        <v>1</v>
      </c>
      <c r="F33" s="10" t="n">
        <v>900000</v>
      </c>
      <c r="G33" s="10" t="n">
        <v>-2700</v>
      </c>
      <c r="H33" s="10">
        <f>G33-F33</f>
        <v/>
      </c>
      <c r="I33" s="2" t="inlineStr">
        <is>
          <t>Ký quỹ ÂM</t>
        </is>
      </c>
    </row>
    <row r="34">
      <c r="A34" s="2" t="inlineStr">
        <is>
          <t>260715PR34AGBC</t>
        </is>
      </c>
      <c r="B34" s="2" t="inlineStr">
        <is>
          <t>2026-07-15</t>
        </is>
      </c>
      <c r="C34" s="2" t="inlineStr">
        <is>
          <t>BLA001003</t>
        </is>
      </c>
      <c r="D34" s="2" t="n">
        <v>1</v>
      </c>
      <c r="E34" s="2" t="n">
        <v>1</v>
      </c>
      <c r="F34" s="10" t="n">
        <v>900000</v>
      </c>
      <c r="G34" s="10" t="n">
        <v>-2700</v>
      </c>
      <c r="H34" s="10">
        <f>G34-F34</f>
        <v/>
      </c>
      <c r="I34" s="2" t="inlineStr">
        <is>
          <t>Ký quỹ ÂM</t>
        </is>
      </c>
    </row>
    <row r="35">
      <c r="A35" s="2" t="inlineStr">
        <is>
          <t>260606CR2QB0NJ</t>
        </is>
      </c>
      <c r="B35" s="2" t="inlineStr">
        <is>
          <t>2026-06-06</t>
        </is>
      </c>
      <c r="C35" s="2" t="inlineStr">
        <is>
          <t>BLA001004</t>
        </is>
      </c>
      <c r="D35" s="2" t="n">
        <v>1</v>
      </c>
      <c r="E35" s="2" t="n">
        <v>1</v>
      </c>
      <c r="F35" s="10" t="n">
        <v>587500</v>
      </c>
      <c r="G35" s="10" t="n">
        <v>-2700</v>
      </c>
      <c r="H35" s="10">
        <f>G35-F35</f>
        <v/>
      </c>
      <c r="I35" s="2" t="inlineStr">
        <is>
          <t>Ký quỹ ÂM</t>
        </is>
      </c>
    </row>
    <row r="36">
      <c r="A36" s="2" t="inlineStr">
        <is>
          <t>260715PYJN0WGY</t>
        </is>
      </c>
      <c r="B36" s="2" t="inlineStr">
        <is>
          <t>2026-07-15</t>
        </is>
      </c>
      <c r="C36" s="2" t="inlineStr">
        <is>
          <t>BLA001002</t>
        </is>
      </c>
      <c r="D36" s="2" t="n">
        <v>1</v>
      </c>
      <c r="E36" s="2" t="n">
        <v>1</v>
      </c>
      <c r="F36" s="10" t="n">
        <v>900000</v>
      </c>
      <c r="G36" s="10" t="n">
        <v>-2700</v>
      </c>
      <c r="H36" s="10">
        <f>G36-F36</f>
        <v/>
      </c>
      <c r="I36" s="2" t="inlineStr">
        <is>
          <t>Ký quỹ ÂM</t>
        </is>
      </c>
    </row>
    <row r="37">
      <c r="A37" s="2" t="inlineStr">
        <is>
          <t>260805JHQ599GY</t>
        </is>
      </c>
      <c r="B37" s="2" t="inlineStr">
        <is>
          <t>2026-08-05</t>
        </is>
      </c>
      <c r="C37" s="2" t="inlineStr">
        <is>
          <t>BLA003001</t>
        </is>
      </c>
      <c r="D37" s="2" t="n">
        <v>1</v>
      </c>
      <c r="E37" s="2" t="n">
        <v>1</v>
      </c>
      <c r="F37" s="10" t="n">
        <v>446200</v>
      </c>
      <c r="G37" s="10" t="n">
        <v>-2700</v>
      </c>
      <c r="H37" s="10">
        <f>G37-F37</f>
        <v/>
      </c>
      <c r="I37" s="2" t="inlineStr">
        <is>
          <t>Ký quỹ ÂM</t>
        </is>
      </c>
    </row>
    <row r="38">
      <c r="A38" s="2" t="inlineStr">
        <is>
          <t>2607181Q0CU99Q</t>
        </is>
      </c>
      <c r="B38" s="2" t="inlineStr">
        <is>
          <t>2026-07-18</t>
        </is>
      </c>
      <c r="C38" s="2" t="inlineStr">
        <is>
          <t>BLA001003</t>
        </is>
      </c>
      <c r="D38" s="2" t="n">
        <v>1</v>
      </c>
      <c r="E38" s="2" t="n">
        <v>1</v>
      </c>
      <c r="F38" s="10" t="n">
        <v>937500</v>
      </c>
      <c r="G38" s="10" t="n">
        <v>-2700</v>
      </c>
      <c r="H38" s="10">
        <f>G38-F38</f>
        <v/>
      </c>
      <c r="I38" s="2" t="inlineStr">
        <is>
          <t>Ký quỹ ÂM</t>
        </is>
      </c>
    </row>
    <row r="39">
      <c r="A39" s="2" t="inlineStr">
        <is>
          <t>260714MAU02QHR</t>
        </is>
      </c>
      <c r="B39" s="2" t="inlineStr">
        <is>
          <t>2026-07-14</t>
        </is>
      </c>
      <c r="C39" s="2" t="inlineStr">
        <is>
          <t>PIL001002</t>
        </is>
      </c>
      <c r="D39" s="2" t="n">
        <v>1</v>
      </c>
      <c r="E39" s="2" t="n">
        <v>1</v>
      </c>
      <c r="F39" s="10" t="n">
        <v>780000</v>
      </c>
      <c r="G39" s="10" t="n">
        <v>-2700</v>
      </c>
      <c r="H39" s="10">
        <f>G39-F39</f>
        <v/>
      </c>
      <c r="I39" s="2" t="inlineStr">
        <is>
          <t>Ký quỹ ÂM</t>
        </is>
      </c>
    </row>
    <row r="40">
      <c r="A40" s="2" t="inlineStr">
        <is>
          <t>26060472TFDA50</t>
        </is>
      </c>
      <c r="B40" s="2" t="inlineStr">
        <is>
          <t>2026-06-04</t>
        </is>
      </c>
      <c r="C40" s="2" t="inlineStr">
        <is>
          <t>BLA001008</t>
        </is>
      </c>
      <c r="D40" s="2" t="n">
        <v>1</v>
      </c>
      <c r="E40" s="2" t="n">
        <v>1</v>
      </c>
      <c r="F40" s="10" t="n">
        <v>522500</v>
      </c>
      <c r="G40" s="10" t="n">
        <v>-2700</v>
      </c>
      <c r="H40" s="10">
        <f>G40-F40</f>
        <v/>
      </c>
      <c r="I40" s="2" t="inlineStr">
        <is>
          <t>Ký quỹ ÂM</t>
        </is>
      </c>
    </row>
    <row r="41">
      <c r="A41" s="2" t="inlineStr">
        <is>
          <t>260610N489VE7K</t>
        </is>
      </c>
      <c r="B41" s="2" t="inlineStr">
        <is>
          <t>2026-06-10</t>
        </is>
      </c>
      <c r="C41" s="2" t="inlineStr">
        <is>
          <t>BLA001005</t>
        </is>
      </c>
      <c r="D41" s="2" t="n">
        <v>1</v>
      </c>
      <c r="E41" s="2" t="n">
        <v>1</v>
      </c>
      <c r="F41" s="10" t="n">
        <v>625000</v>
      </c>
      <c r="G41" s="10" t="n">
        <v>-2700</v>
      </c>
      <c r="H41" s="10">
        <f>G41-F41</f>
        <v/>
      </c>
      <c r="I41" s="2" t="inlineStr">
        <is>
          <t>Ký quỹ ÂM</t>
        </is>
      </c>
    </row>
    <row r="42">
      <c r="A42" s="2" t="inlineStr">
        <is>
          <t>2606021TX78UFW</t>
        </is>
      </c>
      <c r="B42" s="2" t="inlineStr">
        <is>
          <t>2026-06-02</t>
        </is>
      </c>
      <c r="C42" s="2" t="inlineStr">
        <is>
          <t>BLA001009</t>
        </is>
      </c>
      <c r="D42" s="2" t="n">
        <v>1</v>
      </c>
      <c r="E42" s="2" t="n">
        <v>1</v>
      </c>
      <c r="F42" s="10" t="n">
        <v>522500</v>
      </c>
      <c r="G42" s="10" t="n">
        <v>-2700</v>
      </c>
      <c r="H42" s="10">
        <f>G42-F42</f>
        <v/>
      </c>
      <c r="I42" s="2" t="inlineStr">
        <is>
          <t>Ký quỹ ÂM</t>
        </is>
      </c>
    </row>
    <row r="43">
      <c r="A43" s="2" t="inlineStr">
        <is>
          <t>260620KF96S3CK</t>
        </is>
      </c>
      <c r="B43" s="2" t="inlineStr">
        <is>
          <t>2026-06-20</t>
        </is>
      </c>
      <c r="C43" s="2" t="inlineStr">
        <is>
          <t>SET003001</t>
        </is>
      </c>
      <c r="D43" s="2" t="n">
        <v>1</v>
      </c>
      <c r="E43" s="2" t="n">
        <v>1</v>
      </c>
      <c r="F43" s="10" t="n">
        <v>525000</v>
      </c>
      <c r="G43" s="10" t="n">
        <v>-2700</v>
      </c>
      <c r="H43" s="10">
        <f>G43-F43</f>
        <v/>
      </c>
      <c r="I43" s="2" t="inlineStr">
        <is>
          <t>Ký quỹ ÂM</t>
        </is>
      </c>
    </row>
    <row r="44">
      <c r="A44" s="2" t="inlineStr">
        <is>
          <t>251206M7V7CWCG</t>
        </is>
      </c>
      <c r="B44" s="2" t="inlineStr">
        <is>
          <t>2025-12-06</t>
        </is>
      </c>
      <c r="C44" s="2" t="inlineStr">
        <is>
          <t>BLA003001</t>
        </is>
      </c>
      <c r="D44" s="2" t="n">
        <v>1</v>
      </c>
      <c r="E44" s="2" t="n">
        <v>1</v>
      </c>
      <c r="F44" s="10" t="n">
        <v>0</v>
      </c>
      <c r="G44" s="10" t="n">
        <v>-2634</v>
      </c>
      <c r="H44" s="10">
        <f>G44-F44</f>
        <v/>
      </c>
      <c r="I44" s="2" t="inlineStr">
        <is>
          <t>Ký quỹ ÂM</t>
        </is>
      </c>
    </row>
    <row r="45">
      <c r="A45" s="2" t="inlineStr">
        <is>
          <t>250602GB96X7R1</t>
        </is>
      </c>
      <c r="B45" s="2" t="inlineStr">
        <is>
          <t>2025-06-02</t>
        </is>
      </c>
      <c r="C45" s="2" t="inlineStr">
        <is>
          <t>PIL001001</t>
        </is>
      </c>
      <c r="D45" s="2" t="n">
        <v>1</v>
      </c>
      <c r="E45" s="2" t="n">
        <v>1</v>
      </c>
      <c r="F45" s="10" t="n">
        <v>389000</v>
      </c>
      <c r="G45" s="10" t="n">
        <v>-1650</v>
      </c>
      <c r="H45" s="10">
        <f>G45-F45</f>
        <v/>
      </c>
      <c r="I45" s="2" t="inlineStr">
        <is>
          <t>Ký quỹ ÂM</t>
        </is>
      </c>
    </row>
    <row r="46">
      <c r="A46" s="2" t="inlineStr">
        <is>
          <t>250508BDR4XEMS</t>
        </is>
      </c>
      <c r="B46" s="2" t="inlineStr">
        <is>
          <t>2025-05-08</t>
        </is>
      </c>
      <c r="C46" s="2" t="inlineStr">
        <is>
          <t>BLA001004</t>
        </is>
      </c>
      <c r="D46" s="2" t="n">
        <v>1</v>
      </c>
      <c r="E46" s="2" t="n">
        <v>1</v>
      </c>
      <c r="F46" s="10" t="n">
        <v>450300</v>
      </c>
      <c r="G46" s="10" t="n">
        <v>-1650</v>
      </c>
      <c r="H46" s="10">
        <f>G46-F46</f>
        <v/>
      </c>
      <c r="I46" s="2" t="inlineStr">
        <is>
          <t>Ký quỹ ÂM</t>
        </is>
      </c>
    </row>
    <row r="47">
      <c r="A47" s="2" t="inlineStr">
        <is>
          <t>25052964PB2H9V</t>
        </is>
      </c>
      <c r="B47" s="2" t="inlineStr">
        <is>
          <t>2025-05-29</t>
        </is>
      </c>
      <c r="C47" s="2" t="inlineStr">
        <is>
          <t>BLA001004</t>
        </is>
      </c>
      <c r="D47" s="2" t="n">
        <v>2</v>
      </c>
      <c r="E47" s="2" t="n">
        <v>2</v>
      </c>
      <c r="F47" s="10" t="n">
        <v>900600</v>
      </c>
      <c r="G47" s="10" t="n">
        <v>-1650</v>
      </c>
      <c r="H47" s="10">
        <f>G47-F47</f>
        <v/>
      </c>
      <c r="I47" s="2" t="inlineStr">
        <is>
          <t>Ký quỹ ÂM</t>
        </is>
      </c>
    </row>
    <row r="48">
      <c r="A48" s="2" t="inlineStr">
        <is>
          <t>250606RG8S04PG</t>
        </is>
      </c>
      <c r="B48" s="2" t="inlineStr">
        <is>
          <t>2025-06-06</t>
        </is>
      </c>
      <c r="C48" s="2" t="inlineStr">
        <is>
          <t>SET002002</t>
        </is>
      </c>
      <c r="D48" s="2" t="n">
        <v>1</v>
      </c>
      <c r="E48" s="2" t="n">
        <v>1</v>
      </c>
      <c r="F48" s="10" t="n">
        <v>288000</v>
      </c>
      <c r="G48" s="10" t="n">
        <v>-1650</v>
      </c>
      <c r="H48" s="10">
        <f>G48-F48</f>
        <v/>
      </c>
      <c r="I48" s="2" t="inlineStr">
        <is>
          <t>Ký quỹ ÂM</t>
        </is>
      </c>
    </row>
    <row r="49">
      <c r="A49" s="2" t="inlineStr">
        <is>
          <t>250615KHT6USXY</t>
        </is>
      </c>
      <c r="B49" s="2" t="inlineStr">
        <is>
          <t>2025-06-15</t>
        </is>
      </c>
      <c r="C49" s="2" t="inlineStr">
        <is>
          <t>PIL001002</t>
        </is>
      </c>
      <c r="D49" s="2" t="n">
        <v>1</v>
      </c>
      <c r="E49" s="2" t="n">
        <v>1</v>
      </c>
      <c r="F49" s="10" t="n">
        <v>351000</v>
      </c>
      <c r="G49" s="10" t="n">
        <v>-1650</v>
      </c>
      <c r="H49" s="10">
        <f>G49-F49</f>
        <v/>
      </c>
      <c r="I49" s="2" t="inlineStr">
        <is>
          <t>Ký quỹ ÂM</t>
        </is>
      </c>
    </row>
    <row r="50">
      <c r="A50" s="2" t="inlineStr">
        <is>
          <t>2602074X9RV4WG</t>
        </is>
      </c>
      <c r="B50" s="2" t="inlineStr">
        <is>
          <t>2026-02-07</t>
        </is>
      </c>
      <c r="C50" s="2" t="inlineStr">
        <is>
          <t>MAT001014</t>
        </is>
      </c>
      <c r="D50" s="2" t="n">
        <v>2</v>
      </c>
      <c r="E50" s="2" t="n">
        <v>2</v>
      </c>
      <c r="F50" s="10" t="n">
        <v>2806000</v>
      </c>
      <c r="G50" s="10" t="n">
        <v>-1620</v>
      </c>
      <c r="H50" s="10">
        <f>G50-F50</f>
        <v/>
      </c>
      <c r="I50" s="2" t="inlineStr">
        <is>
          <t>Ký quỹ ÂM</t>
        </is>
      </c>
    </row>
    <row r="51">
      <c r="A51" s="2" t="inlineStr">
        <is>
          <t>260425PGRABEKF</t>
        </is>
      </c>
      <c r="B51" s="2" t="inlineStr">
        <is>
          <t>2026-04-25</t>
        </is>
      </c>
      <c r="C51" s="2" t="inlineStr">
        <is>
          <t>BLA002006</t>
        </is>
      </c>
      <c r="D51" s="2" t="n">
        <v>1</v>
      </c>
      <c r="E51" s="2" t="n">
        <v>1</v>
      </c>
      <c r="F51" s="10" t="n">
        <v>885000</v>
      </c>
      <c r="G51" s="10" t="n">
        <v>-1620</v>
      </c>
      <c r="H51" s="10">
        <f>G51-F51</f>
        <v/>
      </c>
      <c r="I51" s="2" t="inlineStr">
        <is>
          <t>Ký quỹ ÂM</t>
        </is>
      </c>
    </row>
    <row r="52">
      <c r="A52" s="2" t="inlineStr">
        <is>
          <t>260516GAQ08W8Y</t>
        </is>
      </c>
      <c r="B52" s="2" t="inlineStr">
        <is>
          <t>2026-05-15</t>
        </is>
      </c>
      <c r="C52" s="2" t="inlineStr">
        <is>
          <t>PIL001003</t>
        </is>
      </c>
      <c r="D52" s="2" t="n">
        <v>1</v>
      </c>
      <c r="E52" s="2" t="n">
        <v>1</v>
      </c>
      <c r="F52" s="10" t="n">
        <v>277500</v>
      </c>
      <c r="G52" s="10" t="n">
        <v>-1620</v>
      </c>
      <c r="H52" s="10">
        <f>G52-F52</f>
        <v/>
      </c>
      <c r="I52" s="2" t="inlineStr">
        <is>
          <t>Ký quỹ ÂM</t>
        </is>
      </c>
    </row>
    <row r="53">
      <c r="A53" s="2" t="inlineStr">
        <is>
          <t>260118C3FH0PSS</t>
        </is>
      </c>
      <c r="B53" s="2" t="inlineStr">
        <is>
          <t>2026-01-18</t>
        </is>
      </c>
      <c r="C53" s="2" t="inlineStr">
        <is>
          <t>BLA001009</t>
        </is>
      </c>
      <c r="D53" s="2" t="n">
        <v>1</v>
      </c>
      <c r="E53" s="2" t="n">
        <v>1</v>
      </c>
      <c r="F53" s="10" t="n">
        <v>712500</v>
      </c>
      <c r="G53" s="10" t="n">
        <v>-1620</v>
      </c>
      <c r="H53" s="10">
        <f>G53-F53</f>
        <v/>
      </c>
      <c r="I53" s="2" t="inlineStr">
        <is>
          <t>Ký quỹ ÂM</t>
        </is>
      </c>
    </row>
    <row r="54">
      <c r="A54" s="2" t="inlineStr">
        <is>
          <t>26011540YJ64RP</t>
        </is>
      </c>
      <c r="B54" s="2" t="inlineStr">
        <is>
          <t>2026-01-15</t>
        </is>
      </c>
      <c r="C54" s="2" t="inlineStr">
        <is>
          <t>BLA001007</t>
        </is>
      </c>
      <c r="D54" s="2" t="n">
        <v>2</v>
      </c>
      <c r="E54" s="2" t="n">
        <v>2</v>
      </c>
      <c r="F54" s="10" t="n">
        <v>2745000</v>
      </c>
      <c r="G54" s="10" t="n">
        <v>-1620</v>
      </c>
      <c r="H54" s="10">
        <f>G54-F54</f>
        <v/>
      </c>
      <c r="I54" s="2" t="inlineStr">
        <is>
          <t>Ký quỹ ÂM</t>
        </is>
      </c>
    </row>
    <row r="55">
      <c r="A55" s="2" t="inlineStr">
        <is>
          <t>251218NBY7XT3J</t>
        </is>
      </c>
      <c r="B55" s="2" t="inlineStr">
        <is>
          <t>2025-12-18</t>
        </is>
      </c>
      <c r="C55" s="2" t="inlineStr">
        <is>
          <t>PIL001002</t>
        </is>
      </c>
      <c r="D55" s="2" t="n">
        <v>1</v>
      </c>
      <c r="E55" s="2" t="n">
        <v>1</v>
      </c>
      <c r="F55" s="10" t="n">
        <v>374400</v>
      </c>
      <c r="G55" s="10" t="n">
        <v>-1620</v>
      </c>
      <c r="H55" s="10">
        <f>G55-F55</f>
        <v/>
      </c>
      <c r="I55" s="2" t="inlineStr">
        <is>
          <t>Ký quỹ ÂM</t>
        </is>
      </c>
    </row>
    <row r="56">
      <c r="A56" s="2" t="inlineStr">
        <is>
          <t>2507254D7E3H9T</t>
        </is>
      </c>
      <c r="B56" s="2" t="inlineStr">
        <is>
          <t>2025-07-25</t>
        </is>
      </c>
      <c r="C56" s="2" t="inlineStr">
        <is>
          <t>BLA002008</t>
        </is>
      </c>
      <c r="D56" s="2" t="n">
        <v>1</v>
      </c>
      <c r="E56" s="2" t="n">
        <v>1</v>
      </c>
      <c r="F56" s="10" t="n">
        <v>864500</v>
      </c>
      <c r="G56" s="10" t="n">
        <v>-1620</v>
      </c>
      <c r="H56" s="10">
        <f>G56-F56</f>
        <v/>
      </c>
      <c r="I56" s="2" t="inlineStr">
        <is>
          <t>Ký quỹ ÂM</t>
        </is>
      </c>
    </row>
    <row r="57">
      <c r="A57" s="2" t="inlineStr">
        <is>
          <t>260123RN00X0RD</t>
        </is>
      </c>
      <c r="B57" s="2" t="inlineStr">
        <is>
          <t>2026-01-23</t>
        </is>
      </c>
      <c r="C57" s="2" t="inlineStr">
        <is>
          <t>BLA002006</t>
        </is>
      </c>
      <c r="D57" s="2" t="n">
        <v>1</v>
      </c>
      <c r="E57" s="2" t="n">
        <v>1</v>
      </c>
      <c r="F57" s="10" t="n">
        <v>1079700</v>
      </c>
      <c r="G57" s="10" t="n">
        <v>-1620</v>
      </c>
      <c r="H57" s="10">
        <f>G57-F57</f>
        <v/>
      </c>
      <c r="I57" s="2" t="inlineStr">
        <is>
          <t>Ký quỹ ÂM</t>
        </is>
      </c>
    </row>
    <row r="58">
      <c r="A58" s="2" t="inlineStr">
        <is>
          <t>260117853QSS8T</t>
        </is>
      </c>
      <c r="B58" s="2" t="inlineStr">
        <is>
          <t>2026-01-16</t>
        </is>
      </c>
      <c r="C58" s="2" t="inlineStr">
        <is>
          <t>PIL003001</t>
        </is>
      </c>
      <c r="D58" s="2" t="n">
        <v>1</v>
      </c>
      <c r="E58" s="2" t="n">
        <v>1</v>
      </c>
      <c r="F58" s="10" t="n">
        <v>1200000</v>
      </c>
      <c r="G58" s="10" t="n">
        <v>-1620</v>
      </c>
      <c r="H58" s="10">
        <f>G58-F58</f>
        <v/>
      </c>
      <c r="I58" s="2" t="inlineStr">
        <is>
          <t>Ký quỹ ÂM</t>
        </is>
      </c>
    </row>
    <row r="59">
      <c r="A59" s="2" t="inlineStr">
        <is>
          <t>260120H7JW311R</t>
        </is>
      </c>
      <c r="B59" s="2" t="inlineStr">
        <is>
          <t>2026-01-20</t>
        </is>
      </c>
      <c r="C59" s="2" t="inlineStr">
        <is>
          <t>PIL001001</t>
        </is>
      </c>
      <c r="D59" s="2" t="n">
        <v>1</v>
      </c>
      <c r="E59" s="2" t="n">
        <v>1</v>
      </c>
      <c r="F59" s="10" t="n">
        <v>547500</v>
      </c>
      <c r="G59" s="10" t="n">
        <v>-1620</v>
      </c>
      <c r="H59" s="10">
        <f>G59-F59</f>
        <v/>
      </c>
      <c r="I59" s="2" t="inlineStr">
        <is>
          <t>Ký quỹ ÂM</t>
        </is>
      </c>
    </row>
    <row r="60">
      <c r="A60" s="2" t="inlineStr">
        <is>
          <t>2601167EESPR9E</t>
        </is>
      </c>
      <c r="B60" s="2" t="inlineStr">
        <is>
          <t>2026-01-16</t>
        </is>
      </c>
      <c r="C60" s="2" t="inlineStr">
        <is>
          <t>BLA001006</t>
        </is>
      </c>
      <c r="D60" s="2" t="n">
        <v>2</v>
      </c>
      <c r="E60" s="2" t="n">
        <v>2</v>
      </c>
      <c r="F60" s="10" t="n">
        <v>1425000</v>
      </c>
      <c r="G60" s="10" t="n">
        <v>-1620</v>
      </c>
      <c r="H60" s="10">
        <f>G60-F60</f>
        <v/>
      </c>
      <c r="I60" s="2" t="inlineStr">
        <is>
          <t>Ký quỹ ÂM</t>
        </is>
      </c>
    </row>
    <row r="61">
      <c r="A61" s="2" t="inlineStr">
        <is>
          <t>2508281GBJMM2B</t>
        </is>
      </c>
      <c r="B61" s="2" t="inlineStr">
        <is>
          <t>2025-08-28</t>
        </is>
      </c>
      <c r="C61" s="2" t="inlineStr">
        <is>
          <t>BLA001007</t>
        </is>
      </c>
      <c r="D61" s="2" t="n">
        <v>1</v>
      </c>
      <c r="E61" s="2" t="n">
        <v>1</v>
      </c>
      <c r="F61" s="10" t="n">
        <v>495000</v>
      </c>
      <c r="G61" s="10" t="n">
        <v>-1620</v>
      </c>
      <c r="H61" s="10">
        <f>G61-F61</f>
        <v/>
      </c>
      <c r="I61" s="2" t="inlineStr">
        <is>
          <t>Ký quỹ ÂM</t>
        </is>
      </c>
    </row>
    <row r="62">
      <c r="A62" s="2" t="inlineStr">
        <is>
          <t>250825NXATNTU1</t>
        </is>
      </c>
      <c r="B62" s="2" t="inlineStr">
        <is>
          <t>2025-08-25</t>
        </is>
      </c>
      <c r="C62" s="2" t="inlineStr">
        <is>
          <t>PIL001004</t>
        </is>
      </c>
      <c r="D62" s="2" t="n">
        <v>1</v>
      </c>
      <c r="E62" s="2" t="n">
        <v>1</v>
      </c>
      <c r="F62" s="10" t="n">
        <v>356900</v>
      </c>
      <c r="G62" s="10" t="n">
        <v>-1620</v>
      </c>
      <c r="H62" s="10">
        <f>G62-F62</f>
        <v/>
      </c>
      <c r="I62" s="2" t="inlineStr">
        <is>
          <t>Ký quỹ ÂM</t>
        </is>
      </c>
    </row>
    <row r="63">
      <c r="A63" s="2" t="inlineStr">
        <is>
          <t>250820A4KYTKAA</t>
        </is>
      </c>
      <c r="B63" s="2" t="inlineStr">
        <is>
          <t>2025-08-20</t>
        </is>
      </c>
      <c r="C63" s="2" t="inlineStr">
        <is>
          <t>BLA002008</t>
        </is>
      </c>
      <c r="D63" s="2" t="n">
        <v>1</v>
      </c>
      <c r="E63" s="2" t="n">
        <v>1</v>
      </c>
      <c r="F63" s="10" t="n">
        <v>1064000</v>
      </c>
      <c r="G63" s="10" t="n">
        <v>-1620</v>
      </c>
      <c r="H63" s="10">
        <f>G63-F63</f>
        <v/>
      </c>
      <c r="I63" s="2" t="inlineStr">
        <is>
          <t>Ký quỹ ÂM</t>
        </is>
      </c>
    </row>
    <row r="64">
      <c r="A64" s="2" t="inlineStr">
        <is>
          <t>250710PNQE02R3</t>
        </is>
      </c>
      <c r="B64" s="2" t="inlineStr">
        <is>
          <t>2025-07-09</t>
        </is>
      </c>
      <c r="C64" s="2" t="inlineStr">
        <is>
          <t>SET004022</t>
        </is>
      </c>
      <c r="D64" s="2" t="n">
        <v>1</v>
      </c>
      <c r="E64" s="2" t="n">
        <v>1</v>
      </c>
      <c r="F64" s="10" t="n">
        <v>885600</v>
      </c>
      <c r="G64" s="10" t="n">
        <v>-1620</v>
      </c>
      <c r="H64" s="10">
        <f>G64-F64</f>
        <v/>
      </c>
      <c r="I64" s="2" t="inlineStr">
        <is>
          <t>Ký quỹ ÂM</t>
        </is>
      </c>
    </row>
    <row r="65">
      <c r="A65" s="2" t="inlineStr">
        <is>
          <t>250912B98RTVTG</t>
        </is>
      </c>
      <c r="B65" s="2" t="inlineStr">
        <is>
          <t>2025-09-12</t>
        </is>
      </c>
      <c r="C65" s="2" t="inlineStr">
        <is>
          <t>BLA001009</t>
        </is>
      </c>
      <c r="D65" s="2" t="n">
        <v>1</v>
      </c>
      <c r="E65" s="2" t="n">
        <v>1</v>
      </c>
      <c r="F65" s="10" t="n">
        <v>950000</v>
      </c>
      <c r="G65" s="10" t="n">
        <v>-1620</v>
      </c>
      <c r="H65" s="10">
        <f>G65-F65</f>
        <v/>
      </c>
      <c r="I65" s="2" t="inlineStr">
        <is>
          <t>Ký quỹ ÂM</t>
        </is>
      </c>
    </row>
    <row r="66">
      <c r="A66" s="2" t="inlineStr">
        <is>
          <t>2507012EF6R6A3</t>
        </is>
      </c>
      <c r="B66" s="2" t="inlineStr">
        <is>
          <t>2025-07-01</t>
        </is>
      </c>
      <c r="C66" s="2" t="inlineStr">
        <is>
          <t>MAT001022</t>
        </is>
      </c>
      <c r="D66" s="2" t="n">
        <v>1</v>
      </c>
      <c r="E66" s="2" t="n">
        <v>1</v>
      </c>
      <c r="F66" s="10" t="n">
        <v>4125000</v>
      </c>
      <c r="G66" s="10" t="n">
        <v>-1620</v>
      </c>
      <c r="H66" s="10">
        <f>G66-F66</f>
        <v/>
      </c>
      <c r="I66" s="2" t="inlineStr">
        <is>
          <t>Ký quỹ ÂM</t>
        </is>
      </c>
    </row>
    <row r="67">
      <c r="A67" s="2" t="inlineStr">
        <is>
          <t>260404W39NKJ0Y</t>
        </is>
      </c>
      <c r="B67" s="2" t="inlineStr">
        <is>
          <t>2026-04-04</t>
        </is>
      </c>
      <c r="C67" s="2" t="inlineStr">
        <is>
          <t>BLA001007</t>
        </is>
      </c>
      <c r="D67" s="2" t="n">
        <v>1</v>
      </c>
      <c r="E67" s="2" t="n">
        <v>1</v>
      </c>
      <c r="F67" s="10" t="n">
        <v>380000</v>
      </c>
      <c r="G67" s="10" t="n">
        <v>-1620</v>
      </c>
      <c r="H67" s="10">
        <f>G67-F67</f>
        <v/>
      </c>
      <c r="I67" s="2" t="inlineStr">
        <is>
          <t>Ký quỹ ÂM</t>
        </is>
      </c>
    </row>
    <row r="68">
      <c r="A68" s="2" t="inlineStr">
        <is>
          <t>260403SXGRGNQ8</t>
        </is>
      </c>
      <c r="B68" s="2" t="inlineStr">
        <is>
          <t>2026-04-03</t>
        </is>
      </c>
      <c r="C68" s="2" t="inlineStr">
        <is>
          <t>BLA001002</t>
        </is>
      </c>
      <c r="D68" s="2" t="n">
        <v>1</v>
      </c>
      <c r="E68" s="2" t="n">
        <v>1</v>
      </c>
      <c r="F68" s="10" t="n">
        <v>625000</v>
      </c>
      <c r="G68" s="10" t="n">
        <v>-1620</v>
      </c>
      <c r="H68" s="10">
        <f>G68-F68</f>
        <v/>
      </c>
      <c r="I68" s="2" t="inlineStr">
        <is>
          <t>Ký quỹ ÂM</t>
        </is>
      </c>
    </row>
    <row r="69">
      <c r="A69" s="2" t="inlineStr">
        <is>
          <t>260502CPBKY62X</t>
        </is>
      </c>
      <c r="B69" s="2" t="inlineStr">
        <is>
          <t>2026-05-02</t>
        </is>
      </c>
      <c r="C69" s="2" t="inlineStr">
        <is>
          <t>BLA001002</t>
        </is>
      </c>
      <c r="D69" s="2" t="n">
        <v>1</v>
      </c>
      <c r="E69" s="2" t="n">
        <v>1</v>
      </c>
      <c r="F69" s="10" t="n">
        <v>687500</v>
      </c>
      <c r="G69" s="10" t="n">
        <v>-1620</v>
      </c>
      <c r="H69" s="10">
        <f>G69-F69</f>
        <v/>
      </c>
      <c r="I69" s="2" t="inlineStr">
        <is>
          <t>Ký quỹ ÂM</t>
        </is>
      </c>
    </row>
    <row r="70">
      <c r="A70" s="2" t="inlineStr">
        <is>
          <t>250927HN0M3P71</t>
        </is>
      </c>
      <c r="B70" s="2" t="inlineStr">
        <is>
          <t>2025-09-27</t>
        </is>
      </c>
      <c r="C70" s="2" t="inlineStr">
        <is>
          <t>MAT001022</t>
        </is>
      </c>
      <c r="D70" s="2" t="n">
        <v>1</v>
      </c>
      <c r="E70" s="2" t="n">
        <v>1</v>
      </c>
      <c r="F70" s="10" t="n">
        <v>3150000</v>
      </c>
      <c r="G70" s="10" t="n">
        <v>-1620</v>
      </c>
      <c r="H70" s="10">
        <f>G70-F70</f>
        <v/>
      </c>
      <c r="I70" s="2" t="inlineStr">
        <is>
          <t>Ký quỹ ÂM</t>
        </is>
      </c>
    </row>
    <row r="71">
      <c r="A71" s="2" t="inlineStr">
        <is>
          <t>25092023HEE7F7</t>
        </is>
      </c>
      <c r="B71" s="2" t="inlineStr">
        <is>
          <t>2025-09-20</t>
        </is>
      </c>
      <c r="C71" s="2" t="inlineStr">
        <is>
          <t>BLA001010</t>
        </is>
      </c>
      <c r="D71" s="2" t="n">
        <v>1</v>
      </c>
      <c r="E71" s="2" t="n">
        <v>1</v>
      </c>
      <c r="F71" s="10" t="n">
        <v>627000</v>
      </c>
      <c r="G71" s="10" t="n">
        <v>-1620</v>
      </c>
      <c r="H71" s="10">
        <f>G71-F71</f>
        <v/>
      </c>
      <c r="I71" s="2" t="inlineStr">
        <is>
          <t>Ký quỹ ÂM</t>
        </is>
      </c>
    </row>
    <row r="72">
      <c r="A72" s="2" t="inlineStr">
        <is>
          <t>25092024M2JG0B</t>
        </is>
      </c>
      <c r="B72" s="2" t="inlineStr">
        <is>
          <t>2025-09-20</t>
        </is>
      </c>
      <c r="C72" s="2" t="inlineStr">
        <is>
          <t>BLA001003</t>
        </is>
      </c>
      <c r="D72" s="2" t="n">
        <v>1</v>
      </c>
      <c r="E72" s="2" t="n">
        <v>1</v>
      </c>
      <c r="F72" s="10" t="n">
        <v>862500</v>
      </c>
      <c r="G72" s="10" t="n">
        <v>-1620</v>
      </c>
      <c r="H72" s="10">
        <f>G72-F72</f>
        <v/>
      </c>
      <c r="I72" s="2" t="inlineStr">
        <is>
          <t>Ký quỹ ÂM</t>
        </is>
      </c>
    </row>
    <row r="73">
      <c r="A73" s="2" t="inlineStr">
        <is>
          <t>251010N8BW8K6C</t>
        </is>
      </c>
      <c r="B73" s="2" t="inlineStr">
        <is>
          <t>2025-10-10</t>
        </is>
      </c>
      <c r="C73" s="2" t="inlineStr">
        <is>
          <t>MAT005006</t>
        </is>
      </c>
      <c r="D73" s="2" t="n">
        <v>1</v>
      </c>
      <c r="E73" s="2" t="n">
        <v>1</v>
      </c>
      <c r="F73" s="10" t="n">
        <v>7085000</v>
      </c>
      <c r="G73" s="10" t="n">
        <v>-1620</v>
      </c>
      <c r="H73" s="10">
        <f>G73-F73</f>
        <v/>
      </c>
      <c r="I73" s="2" t="inlineStr">
        <is>
          <t>Ký quỹ ÂM</t>
        </is>
      </c>
    </row>
    <row r="74">
      <c r="A74" s="2" t="inlineStr">
        <is>
          <t>251009M99F38DK</t>
        </is>
      </c>
      <c r="B74" s="2" t="inlineStr">
        <is>
          <t>2025-10-09</t>
        </is>
      </c>
      <c r="C74" s="2" t="inlineStr">
        <is>
          <t>MAT005003</t>
        </is>
      </c>
      <c r="D74" s="2" t="n">
        <v>1</v>
      </c>
      <c r="E74" s="2" t="n">
        <v>1</v>
      </c>
      <c r="F74" s="10" t="n">
        <v>5135000</v>
      </c>
      <c r="G74" s="10" t="n">
        <v>-1620</v>
      </c>
      <c r="H74" s="10">
        <f>G74-F74</f>
        <v/>
      </c>
      <c r="I74" s="2" t="inlineStr">
        <is>
          <t>Ký quỹ ÂM</t>
        </is>
      </c>
    </row>
    <row r="75">
      <c r="A75" s="2" t="inlineStr">
        <is>
          <t>251009MMFWUE7V</t>
        </is>
      </c>
      <c r="B75" s="2" t="inlineStr">
        <is>
          <t>2025-10-09</t>
        </is>
      </c>
      <c r="C75" s="2" t="inlineStr">
        <is>
          <t>BLA001007</t>
        </is>
      </c>
      <c r="D75" s="2" t="n">
        <v>1</v>
      </c>
      <c r="E75" s="2" t="n">
        <v>1</v>
      </c>
      <c r="F75" s="10" t="n">
        <v>579500</v>
      </c>
      <c r="G75" s="10" t="n">
        <v>-1620</v>
      </c>
      <c r="H75" s="10">
        <f>G75-F75</f>
        <v/>
      </c>
      <c r="I75" s="2" t="inlineStr">
        <is>
          <t>Ký quỹ ÂM</t>
        </is>
      </c>
    </row>
    <row r="76">
      <c r="A76" s="2" t="inlineStr">
        <is>
          <t>251009MHWSJPH3</t>
        </is>
      </c>
      <c r="B76" s="2" t="inlineStr">
        <is>
          <t>2025-10-09</t>
        </is>
      </c>
      <c r="C76" s="2" t="inlineStr">
        <is>
          <t>BLA001001</t>
        </is>
      </c>
      <c r="D76" s="2" t="n">
        <v>1</v>
      </c>
      <c r="E76" s="2" t="n">
        <v>1</v>
      </c>
      <c r="F76" s="10" t="n">
        <v>787500</v>
      </c>
      <c r="G76" s="10" t="n">
        <v>-1620</v>
      </c>
      <c r="H76" s="10">
        <f>G76-F76</f>
        <v/>
      </c>
      <c r="I76" s="2" t="inlineStr">
        <is>
          <t>Ký quỹ ÂM</t>
        </is>
      </c>
    </row>
    <row r="77">
      <c r="A77" s="2" t="inlineStr">
        <is>
          <t>250930TRQKJMTF</t>
        </is>
      </c>
      <c r="B77" s="2" t="inlineStr">
        <is>
          <t>2025-09-30</t>
        </is>
      </c>
      <c r="C77" s="2" t="inlineStr">
        <is>
          <t>BLA001007</t>
        </is>
      </c>
      <c r="D77" s="2" t="n">
        <v>1</v>
      </c>
      <c r="E77" s="2" t="n">
        <v>1</v>
      </c>
      <c r="F77" s="10" t="n">
        <v>627000</v>
      </c>
      <c r="G77" s="10" t="n">
        <v>-1620</v>
      </c>
      <c r="H77" s="10">
        <f>G77-F77</f>
        <v/>
      </c>
      <c r="I77" s="2" t="inlineStr">
        <is>
          <t>Ký quỹ ÂM</t>
        </is>
      </c>
    </row>
    <row r="78">
      <c r="A78" s="2" t="inlineStr">
        <is>
          <t>251020JCS8T2WC</t>
        </is>
      </c>
      <c r="B78" s="2" t="inlineStr">
        <is>
          <t>2025-10-20</t>
        </is>
      </c>
      <c r="C78" s="2" t="inlineStr">
        <is>
          <t>BLA001002</t>
        </is>
      </c>
      <c r="D78" s="2" t="n">
        <v>1</v>
      </c>
      <c r="E78" s="2" t="n">
        <v>1</v>
      </c>
      <c r="F78" s="10" t="n">
        <v>825000</v>
      </c>
      <c r="G78" s="10" t="n">
        <v>-1620</v>
      </c>
      <c r="H78" s="10">
        <f>G78-F78</f>
        <v/>
      </c>
      <c r="I78" s="2" t="inlineStr">
        <is>
          <t>Ký quỹ ÂM</t>
        </is>
      </c>
    </row>
    <row r="79">
      <c r="A79" s="2" t="inlineStr">
        <is>
          <t>2510169EAGTJS1</t>
        </is>
      </c>
      <c r="B79" s="2" t="inlineStr">
        <is>
          <t>2025-10-16</t>
        </is>
      </c>
      <c r="C79" s="2" t="inlineStr">
        <is>
          <t>BLA001010</t>
        </is>
      </c>
      <c r="D79" s="2" t="n">
        <v>1</v>
      </c>
      <c r="E79" s="2" t="n">
        <v>1</v>
      </c>
      <c r="F79" s="10" t="n">
        <v>598500</v>
      </c>
      <c r="G79" s="10" t="n">
        <v>-1620</v>
      </c>
      <c r="H79" s="10">
        <f>G79-F79</f>
        <v/>
      </c>
      <c r="I79" s="2" t="inlineStr">
        <is>
          <t>Ký quỹ ÂM</t>
        </is>
      </c>
    </row>
    <row r="80">
      <c r="A80" s="2" t="inlineStr">
        <is>
          <t>260505JQDQG3GA</t>
        </is>
      </c>
      <c r="B80" s="2" t="inlineStr">
        <is>
          <t>2026-05-05</t>
        </is>
      </c>
      <c r="C80" s="2" t="inlineStr">
        <is>
          <t>BLA001004</t>
        </is>
      </c>
      <c r="D80" s="2" t="n">
        <v>1</v>
      </c>
      <c r="E80" s="2" t="n">
        <v>1</v>
      </c>
      <c r="F80" s="10" t="n">
        <v>587500</v>
      </c>
      <c r="G80" s="10" t="n">
        <v>-1620</v>
      </c>
      <c r="H80" s="10">
        <f>G80-F80</f>
        <v/>
      </c>
      <c r="I80" s="2" t="inlineStr">
        <is>
          <t>Ký quỹ ÂM</t>
        </is>
      </c>
    </row>
    <row r="81">
      <c r="A81" s="2" t="inlineStr">
        <is>
          <t>260323VGYPDQGB</t>
        </is>
      </c>
      <c r="B81" s="2" t="inlineStr">
        <is>
          <t>2026-03-23</t>
        </is>
      </c>
      <c r="C81" s="2" t="inlineStr">
        <is>
          <t>PIL001002</t>
        </is>
      </c>
      <c r="D81" s="2" t="n">
        <v>2</v>
      </c>
      <c r="E81" s="2" t="n">
        <v>2</v>
      </c>
      <c r="F81" s="10" t="n">
        <v>1509000</v>
      </c>
      <c r="G81" s="10" t="n">
        <v>-1620</v>
      </c>
      <c r="H81" s="10">
        <f>G81-F81</f>
        <v/>
      </c>
      <c r="I81" s="2" t="inlineStr">
        <is>
          <t>Ký quỹ ÂM</t>
        </is>
      </c>
    </row>
    <row r="82">
      <c r="A82" s="2" t="inlineStr">
        <is>
          <t>250903GQSCUJ5A</t>
        </is>
      </c>
      <c r="B82" s="2" t="inlineStr">
        <is>
          <t>2025-09-03</t>
        </is>
      </c>
      <c r="C82" s="2" t="inlineStr">
        <is>
          <t>BLA001009</t>
        </is>
      </c>
      <c r="D82" s="2" t="n">
        <v>1</v>
      </c>
      <c r="E82" s="2" t="n">
        <v>1</v>
      </c>
      <c r="F82" s="10" t="n">
        <v>487500</v>
      </c>
      <c r="G82" s="10" t="n">
        <v>-1620</v>
      </c>
      <c r="H82" s="10">
        <f>G82-F82</f>
        <v/>
      </c>
      <c r="I82" s="2" t="inlineStr">
        <is>
          <t>Ký quỹ ÂM</t>
        </is>
      </c>
    </row>
    <row r="83">
      <c r="A83" s="2" t="inlineStr">
        <is>
          <t>251209V34CHECB</t>
        </is>
      </c>
      <c r="B83" s="2" t="inlineStr">
        <is>
          <t>2025-12-09</t>
        </is>
      </c>
      <c r="C83" s="2" t="inlineStr">
        <is>
          <t>PIL001002</t>
        </is>
      </c>
      <c r="D83" s="2" t="n">
        <v>1</v>
      </c>
      <c r="E83" s="2" t="n">
        <v>1</v>
      </c>
      <c r="F83" s="10" t="n">
        <v>419000</v>
      </c>
      <c r="G83" s="10" t="n">
        <v>-1620</v>
      </c>
      <c r="H83" s="10">
        <f>G83-F83</f>
        <v/>
      </c>
      <c r="I83" s="2" t="inlineStr">
        <is>
          <t>Ký quỹ ÂM</t>
        </is>
      </c>
    </row>
    <row r="84">
      <c r="A84" s="2" t="inlineStr">
        <is>
          <t>2504268X8FU47J</t>
        </is>
      </c>
      <c r="B84" s="2" t="inlineStr">
        <is>
          <t>2025-04-26</t>
        </is>
      </c>
      <c r="C84" s="2" t="inlineStr">
        <is>
          <t>PIL001002</t>
        </is>
      </c>
      <c r="D84" s="2" t="n">
        <v>2</v>
      </c>
      <c r="E84" s="2" t="n">
        <v>2</v>
      </c>
      <c r="F84" s="10" t="n">
        <v>838000</v>
      </c>
      <c r="G84" s="10" t="n">
        <v>0</v>
      </c>
      <c r="H84" s="10">
        <f>G84-F84</f>
        <v/>
      </c>
      <c r="I84" s="2" t="inlineStr">
        <is>
          <t>Ký quỹ = 0</t>
        </is>
      </c>
    </row>
    <row r="85">
      <c r="A85" s="2" t="inlineStr">
        <is>
          <t>250325FMB9SHXM</t>
        </is>
      </c>
      <c r="B85" s="2" t="inlineStr">
        <is>
          <t>2025-03-25</t>
        </is>
      </c>
      <c r="C85" s="2" t="inlineStr">
        <is>
          <t>SET001001</t>
        </is>
      </c>
      <c r="D85" s="2" t="n">
        <v>1</v>
      </c>
      <c r="E85" s="2" t="n">
        <v>1</v>
      </c>
      <c r="F85" s="10" t="n">
        <v>760000</v>
      </c>
      <c r="G85" s="10" t="n">
        <v>0</v>
      </c>
      <c r="H85" s="10">
        <f>G85-F85</f>
        <v/>
      </c>
      <c r="I85" s="2" t="inlineStr">
        <is>
          <t>Ký quỹ = 0</t>
        </is>
      </c>
    </row>
    <row r="86">
      <c r="A86" s="2" t="inlineStr">
        <is>
          <t>250316RDT48KDD</t>
        </is>
      </c>
      <c r="B86" s="2" t="inlineStr">
        <is>
          <t>2025-03-16</t>
        </is>
      </c>
      <c r="C86" s="2" t="inlineStr">
        <is>
          <t>SET001001</t>
        </is>
      </c>
      <c r="D86" s="2" t="n">
        <v>2</v>
      </c>
      <c r="E86" s="2" t="n">
        <v>2</v>
      </c>
      <c r="F86" s="10" t="n">
        <v>598000</v>
      </c>
      <c r="G86" s="10" t="n">
        <v>0</v>
      </c>
      <c r="H86" s="10">
        <f>G86-F86</f>
        <v/>
      </c>
      <c r="I86" s="2" t="inlineStr">
        <is>
          <t>Ký quỹ = 0</t>
        </is>
      </c>
    </row>
    <row r="87">
      <c r="A87" s="2" t="inlineStr">
        <is>
          <t>250303K3EHCTJC</t>
        </is>
      </c>
      <c r="B87" s="2" t="inlineStr">
        <is>
          <t>2025-03-03</t>
        </is>
      </c>
      <c r="C87" s="2" t="inlineStr">
        <is>
          <t>BLA001003</t>
        </is>
      </c>
      <c r="D87" s="2" t="n">
        <v>1</v>
      </c>
      <c r="E87" s="2" t="n">
        <v>1</v>
      </c>
      <c r="F87" s="10" t="n">
        <v>363000</v>
      </c>
      <c r="G87" s="10" t="n">
        <v>0</v>
      </c>
      <c r="H87" s="10">
        <f>G87-F87</f>
        <v/>
      </c>
      <c r="I87" s="2" t="inlineStr">
        <is>
          <t>Ký quỹ = 0</t>
        </is>
      </c>
    </row>
    <row r="88">
      <c r="E88" s="11" t="inlineStr">
        <is>
          <t>TỔNG</t>
        </is>
      </c>
      <c r="F88" s="12">
        <f>SUM(F2:F87)</f>
        <v/>
      </c>
      <c r="G88" s="12">
        <f>SUM(G2:G87)</f>
        <v/>
      </c>
      <c r="H88" s="12">
        <f>SUM(H2:H87)</f>
        <v/>
      </c>
      <c r="I88" s="11" t="inlineStr">
        <is>
          <t>86 đơn</t>
        </is>
      </c>
    </row>
    <row r="90" ht="20" customHeight="1">
      <c r="A90" s="7" t="inlineStr">
        <is>
          <t>CÁCH ĐỌC BẢNG NÀY</t>
        </is>
      </c>
    </row>
    <row r="91" ht="30" customHeight="1">
      <c r="A91" s="8" t="inlineStr">
        <is>
          <t>Tiền Shopee thực trả = cột tien_ky_quy trong sales_fact, tức escrow_amount_after_adjustment từ API. ÂM nghĩa là Shopee thu lại tiền của người bán.</t>
        </is>
      </c>
    </row>
    <row r="92" ht="30" customHeight="1">
      <c r="A92" s="8" t="inlineStr">
        <is>
          <t>App vẫn tính ĐỦ doanh thu cho những đơn này, vì trang_thai_don_hang là "Hoàn thành" và so_luong_san_pham_duoc_hoan_tra = 0.</t>
        </is>
      </c>
    </row>
    <row r="93" ht="30" customHeight="1">
      <c r="A93" s="8" t="inlineStr">
        <is>
          <t>ĐÃ XÁC MINH 1 đơn: 260617AMH1GPU2 có seller_return_refund = -522.500, đúng bằng giá bán. Đơn này bị hoàn TOÀN BỘ.</t>
        </is>
      </c>
    </row>
    <row r="94" ht="30" customHeight="1">
      <c r="A94" s="8" t="inlineStr">
        <is>
          <t>CHƯA XÁC MINH 85 đơn còn lại. Ký quỹ âm cũng có thể do phí vượt doanh thu, chưa chắc là hoàn hàng.</t>
        </is>
      </c>
    </row>
    <row r="95" ht="30" customHeight="1">
      <c r="A95" s="8" t="inlineStr">
        <is>
          <t>Muốn xác minh từng đơn phải gọi get_escrow_detail rồi đọc seller_return_refund — cần vá lại hàm ops-sync.</t>
        </is>
      </c>
    </row>
  </sheetData>
  <mergeCells count="6">
    <mergeCell ref="A95:I95"/>
    <mergeCell ref="A90:I90"/>
    <mergeCell ref="A93:I93"/>
    <mergeCell ref="A94:I94"/>
    <mergeCell ref="A91:I91"/>
    <mergeCell ref="A92:I9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6" customWidth="1" min="2" max="2"/>
  </cols>
  <sheetData>
    <row r="1" ht="32" customHeight="1">
      <c r="A1" s="1" t="inlineStr">
        <is>
          <t>Cột trong sales_fact</t>
        </is>
      </c>
      <c r="B1" s="1" t="inlineStr">
        <is>
          <t>Giá trị</t>
        </is>
      </c>
    </row>
    <row r="2">
      <c r="A2" s="6" t="inlineStr">
        <is>
          <t>_id</t>
        </is>
      </c>
      <c r="B2" s="6" t="n">
        <v>96300</v>
      </c>
    </row>
    <row r="3">
      <c r="A3" s="6" t="inlineStr">
        <is>
          <t>ma_don_hang</t>
        </is>
      </c>
      <c r="B3" s="6" t="inlineStr">
        <is>
          <t>260826D5UYEMQ8</t>
        </is>
      </c>
    </row>
    <row r="4">
      <c r="A4" s="6" t="inlineStr">
        <is>
          <t>ma_kien_hang</t>
        </is>
      </c>
      <c r="B4" s="6" t="inlineStr"/>
    </row>
    <row r="5">
      <c r="A5" s="6" t="inlineStr">
        <is>
          <t>ngay_dat_hang</t>
        </is>
      </c>
      <c r="B5" s="6" t="inlineStr">
        <is>
          <t>2026-08-26 21:16</t>
        </is>
      </c>
    </row>
    <row r="6">
      <c r="A6" s="6" t="inlineStr">
        <is>
          <t>trang_thai_don_hang</t>
        </is>
      </c>
      <c r="B6" s="6" t="inlineStr">
        <is>
          <t>Hoàn thành</t>
        </is>
      </c>
    </row>
    <row r="7">
      <c r="A7" s="6" t="inlineStr">
        <is>
          <t>san_pham_ban_chay</t>
        </is>
      </c>
      <c r="B7" s="9" t="inlineStr">
        <is>
          <t>Chăn Lạnh Điều Hòa ExtraCool TUFT &amp; NEEDLE, Mền Thun Lạnh Mùa Hè Cực Mát Cao Cấp 2mx2m3</t>
        </is>
      </c>
    </row>
    <row r="8">
      <c r="A8" s="2" t="inlineStr">
        <is>
          <t>ly_do_huy</t>
        </is>
      </c>
      <c r="B8" s="2" t="inlineStr"/>
    </row>
    <row r="9">
      <c r="A9" s="6" t="inlineStr">
        <is>
          <t>nhan_xet_tu_nguoi_mua</t>
        </is>
      </c>
      <c r="B9" s="6" t="inlineStr"/>
    </row>
    <row r="10">
      <c r="A10" s="6" t="inlineStr">
        <is>
          <t>ma_van_don</t>
        </is>
      </c>
      <c r="B10" s="6" t="inlineStr"/>
    </row>
    <row r="11">
      <c r="A11" s="2" t="inlineStr">
        <is>
          <t>don_vi_van_chuyen</t>
        </is>
      </c>
      <c r="B11" s="2" t="inlineStr">
        <is>
          <t>SPX Express</t>
        </is>
      </c>
    </row>
    <row r="12">
      <c r="A12" s="6" t="inlineStr">
        <is>
          <t>phuong_thuc_giao_hang</t>
        </is>
      </c>
      <c r="B12" s="6" t="inlineStr"/>
    </row>
    <row r="13">
      <c r="A13" s="6" t="inlineStr">
        <is>
          <t>loai_don_hang</t>
        </is>
      </c>
      <c r="B13" s="6" t="inlineStr"/>
    </row>
    <row r="14">
      <c r="A14" s="6" t="inlineStr">
        <is>
          <t>ngay_xuat_hang</t>
        </is>
      </c>
      <c r="B14" s="6" t="inlineStr">
        <is>
          <t>2026-08-27 15:08</t>
        </is>
      </c>
    </row>
    <row r="15">
      <c r="A15" s="6" t="inlineStr">
        <is>
          <t>ngay_giao_hang_du_kien</t>
        </is>
      </c>
      <c r="B15" s="6" t="inlineStr"/>
    </row>
    <row r="16">
      <c r="A16" s="6" t="inlineStr">
        <is>
          <t>ngay_giao_hang_noi_dia</t>
        </is>
      </c>
      <c r="B16" s="6" t="inlineStr"/>
    </row>
    <row r="17">
      <c r="A17" s="6" t="inlineStr">
        <is>
          <t>thoi_gian_giao_hang</t>
        </is>
      </c>
      <c r="B17" s="6" t="inlineStr"/>
    </row>
    <row r="18">
      <c r="A18" s="2" t="inlineStr">
        <is>
          <t>thoi_gian_hoan_thanh_don_hang</t>
        </is>
      </c>
      <c r="B18" s="2" t="inlineStr">
        <is>
          <t>2026-08-28 14:32</t>
        </is>
      </c>
    </row>
    <row r="19">
      <c r="A19" s="2" t="inlineStr">
        <is>
          <t>trang_thai_tra_hang_hoan_tien</t>
        </is>
      </c>
      <c r="B19" s="2" t="inlineStr">
        <is>
          <t>Đã Chấp Thuận Yêu Cầu</t>
        </is>
      </c>
    </row>
    <row r="20">
      <c r="A20" s="2" t="inlineStr">
        <is>
          <t>ngay_huy_thanh_cong</t>
        </is>
      </c>
      <c r="B20" s="2" t="inlineStr"/>
    </row>
    <row r="21">
      <c r="A21" s="6" t="inlineStr">
        <is>
          <t>don_hang_duoc_xu_ly_boi_shopee</t>
        </is>
      </c>
      <c r="B21" s="6" t="inlineStr"/>
    </row>
    <row r="22">
      <c r="A22" s="6" t="inlineStr">
        <is>
          <t>sku_san_pham</t>
        </is>
      </c>
      <c r="B22" s="6" t="inlineStr">
        <is>
          <t>BLA001</t>
        </is>
      </c>
    </row>
    <row r="23">
      <c r="A23" s="6" t="inlineStr">
        <is>
          <t>ten_san_pham</t>
        </is>
      </c>
      <c r="B23" s="9" t="inlineStr">
        <is>
          <t>Chăn Lạnh Điều Hòa ExtraCool TUFT &amp; NEEDLE, Mền Thun Lạnh Mùa Hè Cực Mát Cao Cấp 2mx2m3</t>
        </is>
      </c>
    </row>
    <row r="24">
      <c r="A24" s="6" t="inlineStr">
        <is>
          <t>can_nang_san_pham</t>
        </is>
      </c>
      <c r="B24" s="6" t="inlineStr"/>
    </row>
    <row r="25">
      <c r="A25" s="6" t="inlineStr">
        <is>
          <t>tong_can_nang</t>
        </is>
      </c>
      <c r="B25" s="6" t="inlineStr"/>
    </row>
    <row r="26">
      <c r="A26" s="6" t="inlineStr">
        <is>
          <t>ten_kho_hang</t>
        </is>
      </c>
      <c r="B26" s="6" t="inlineStr"/>
    </row>
    <row r="27">
      <c r="A27" s="6" t="inlineStr">
        <is>
          <t>sku_phan_loai_hang</t>
        </is>
      </c>
      <c r="B27" s="6" t="inlineStr">
        <is>
          <t>BLA001008</t>
        </is>
      </c>
    </row>
    <row r="28">
      <c r="A28" s="6" t="inlineStr">
        <is>
          <t>ten_phan_loai_hang</t>
        </is>
      </c>
      <c r="B28" s="6" t="inlineStr">
        <is>
          <t>Tím hoa cà,Microfiber ThoángKhí</t>
        </is>
      </c>
    </row>
    <row r="29">
      <c r="A29" s="6" t="inlineStr">
        <is>
          <t>so_huu_boi_shopee</t>
        </is>
      </c>
      <c r="B29" s="6" t="inlineStr"/>
    </row>
    <row r="30">
      <c r="A30" s="6" t="inlineStr">
        <is>
          <t>gia_goc</t>
        </is>
      </c>
      <c r="B30" s="6" t="inlineStr">
        <is>
          <t>1425000</t>
        </is>
      </c>
    </row>
    <row r="31">
      <c r="A31" s="6" t="inlineStr">
        <is>
          <t>nguoi_ban_tro_gia</t>
        </is>
      </c>
      <c r="B31" s="6" t="inlineStr"/>
    </row>
    <row r="32">
      <c r="A32" s="6" t="inlineStr">
        <is>
          <t>duoc_shopee_tro_gia</t>
        </is>
      </c>
      <c r="B32" s="6" t="inlineStr">
        <is>
          <t>298305</t>
        </is>
      </c>
    </row>
    <row r="33">
      <c r="A33" s="6" t="inlineStr">
        <is>
          <t>tong_so_tien_duoc_nguoi_ban_tro_gia</t>
        </is>
      </c>
      <c r="B33" s="6" t="inlineStr">
        <is>
          <t>0</t>
        </is>
      </c>
    </row>
    <row r="34">
      <c r="A34" s="6" t="inlineStr">
        <is>
          <t>gia_uu_dai</t>
        </is>
      </c>
      <c r="B34" s="6" t="inlineStr">
        <is>
          <t>726750</t>
        </is>
      </c>
    </row>
    <row r="35">
      <c r="A35" s="2" t="inlineStr">
        <is>
          <t>so_luong</t>
        </is>
      </c>
      <c r="B35" s="2" t="inlineStr">
        <is>
          <t>1</t>
        </is>
      </c>
    </row>
    <row r="36">
      <c r="A36" s="2" t="inlineStr">
        <is>
          <t>so_luong_san_pham_duoc_hoan_tra</t>
        </is>
      </c>
      <c r="B36" s="2" t="inlineStr">
        <is>
          <t>0</t>
        </is>
      </c>
    </row>
    <row r="37">
      <c r="A37" s="2" t="inlineStr">
        <is>
          <t>tong_gia_ban_san_pham</t>
        </is>
      </c>
      <c r="B37" s="2" t="inlineStr">
        <is>
          <t>726750</t>
        </is>
      </c>
    </row>
    <row r="38">
      <c r="A38" s="6" t="inlineStr">
        <is>
          <t>tong_gia_tri_don_hang_vnd</t>
        </is>
      </c>
      <c r="B38" s="6" t="inlineStr"/>
    </row>
    <row r="39">
      <c r="A39" s="6" t="inlineStr">
        <is>
          <t>ma_giam_gia_cua_shop</t>
        </is>
      </c>
      <c r="B39" s="6" t="inlineStr"/>
    </row>
    <row r="40">
      <c r="A40" s="2" t="inlineStr">
        <is>
          <t>hoan_xu</t>
        </is>
      </c>
      <c r="B40" s="2" t="inlineStr">
        <is>
          <t>400</t>
        </is>
      </c>
    </row>
    <row r="41">
      <c r="A41" s="6" t="inlineStr">
        <is>
          <t>ma_giam_gia_cua_shopee</t>
        </is>
      </c>
      <c r="B41" s="6" t="inlineStr"/>
    </row>
    <row r="42">
      <c r="A42" s="2" t="inlineStr">
        <is>
          <t>chi_tieu_combo_khuyen_mai</t>
        </is>
      </c>
      <c r="B42" s="2" t="inlineStr"/>
    </row>
    <row r="43">
      <c r="A43" s="6" t="inlineStr">
        <is>
          <t>giam_gia_tu_combo_shopee</t>
        </is>
      </c>
      <c r="B43" s="6" t="inlineStr"/>
    </row>
    <row r="44">
      <c r="A44" s="6" t="inlineStr">
        <is>
          <t>giam_gia_tu_combo_cua_shop</t>
        </is>
      </c>
      <c r="B44" s="6" t="inlineStr"/>
    </row>
    <row r="45">
      <c r="A45" s="2" t="inlineStr">
        <is>
          <t>shopee_xu_duoc_hoan</t>
        </is>
      </c>
      <c r="B45" s="2" t="inlineStr"/>
    </row>
    <row r="46">
      <c r="A46" s="9" t="inlineStr">
        <is>
          <t>so_tien_duoc_giam_khi_thanh_toan_bang_the_ghi_no</t>
        </is>
      </c>
      <c r="B46" s="6" t="inlineStr"/>
    </row>
    <row r="47">
      <c r="A47" s="6" t="inlineStr">
        <is>
          <t>trade_in_discount</t>
        </is>
      </c>
      <c r="B47" s="6" t="inlineStr"/>
    </row>
    <row r="48">
      <c r="A48" s="6" t="inlineStr">
        <is>
          <t>trade_in_bonus</t>
        </is>
      </c>
      <c r="B48" s="6" t="inlineStr"/>
    </row>
    <row r="49">
      <c r="A49" s="2" t="inlineStr">
        <is>
          <t>phi_van_chuyen_du_kien</t>
        </is>
      </c>
      <c r="B49" s="2" t="inlineStr">
        <is>
          <t>21200</t>
        </is>
      </c>
    </row>
    <row r="50">
      <c r="A50" s="6" t="inlineStr">
        <is>
          <t>trade_in_bonus_by_seller</t>
        </is>
      </c>
      <c r="B50" s="6" t="inlineStr"/>
    </row>
    <row r="51">
      <c r="A51" s="2" t="inlineStr">
        <is>
          <t>phi_van_chuyen_ma_nguoi_mua_tra</t>
        </is>
      </c>
      <c r="B51" s="2" t="inlineStr">
        <is>
          <t>0</t>
        </is>
      </c>
    </row>
    <row r="52">
      <c r="A52" s="2" t="inlineStr">
        <is>
          <t>phi_tra_hang</t>
        </is>
      </c>
      <c r="B52" s="2" t="inlineStr"/>
    </row>
    <row r="53">
      <c r="A53" s="6" t="inlineStr">
        <is>
          <t>tong_so_tien_nguoi_mua_thanh_toan</t>
        </is>
      </c>
      <c r="B53" s="6" t="inlineStr">
        <is>
          <t>428045</t>
        </is>
      </c>
    </row>
    <row r="54">
      <c r="A54" s="6" t="inlineStr">
        <is>
          <t>thoi_gian_don_hang_duoc_thanh_toan</t>
        </is>
      </c>
      <c r="B54" s="6" t="inlineStr"/>
    </row>
    <row r="55">
      <c r="A55" s="2" t="inlineStr">
        <is>
          <t>ngay_xac_minh_ky_quy</t>
        </is>
      </c>
      <c r="B55" s="2" t="inlineStr"/>
    </row>
    <row r="56">
      <c r="A56" s="6" t="inlineStr">
        <is>
          <t>phuong_thuc_thanh_toan</t>
        </is>
      </c>
      <c r="B56" s="6" t="inlineStr">
        <is>
          <t>SPayLater</t>
        </is>
      </c>
    </row>
    <row r="57">
      <c r="A57" s="6" t="inlineStr">
        <is>
          <t>phi_co_dinh</t>
        </is>
      </c>
      <c r="B57" s="6" t="inlineStr">
        <is>
          <t>135902</t>
        </is>
      </c>
    </row>
    <row r="58">
      <c r="A58" s="6" t="inlineStr">
        <is>
          <t>phi_dich_vu</t>
        </is>
      </c>
      <c r="B58" s="6" t="inlineStr">
        <is>
          <t>42971</t>
        </is>
      </c>
    </row>
    <row r="59">
      <c r="A59" s="6" t="inlineStr">
        <is>
          <t>phi_thanh_toan</t>
        </is>
      </c>
      <c r="B59" s="6" t="inlineStr">
        <is>
          <t>43605</t>
        </is>
      </c>
    </row>
    <row r="60">
      <c r="A60" s="2" t="inlineStr">
        <is>
          <t>tien_ky_quy</t>
        </is>
      </c>
      <c r="B60" s="2" t="inlineStr">
        <is>
          <t>501572</t>
        </is>
      </c>
    </row>
    <row r="61">
      <c r="A61" s="6" t="inlineStr">
        <is>
          <t>nguoi_mua</t>
        </is>
      </c>
      <c r="B61" s="6" t="inlineStr"/>
    </row>
    <row r="62">
      <c r="A62" s="6" t="inlineStr">
        <is>
          <t>ten_nguoi_nhan</t>
        </is>
      </c>
      <c r="B62" s="6" t="inlineStr"/>
    </row>
    <row r="63">
      <c r="A63" s="6" t="inlineStr">
        <is>
          <t>so_dien_thoai</t>
        </is>
      </c>
      <c r="B63" s="6" t="inlineStr"/>
    </row>
    <row r="64">
      <c r="A64" s="6" t="inlineStr">
        <is>
          <t>tinh_thanh_pho</t>
        </is>
      </c>
      <c r="B64" s="6" t="inlineStr">
        <is>
          <t>****</t>
        </is>
      </c>
    </row>
    <row r="65">
      <c r="A65" s="2" t="inlineStr">
        <is>
          <t>tp_quan_huyen</t>
        </is>
      </c>
      <c r="B65" s="2" t="inlineStr">
        <is>
          <t>****</t>
        </is>
      </c>
    </row>
    <row r="66">
      <c r="A66" s="6" t="inlineStr">
        <is>
          <t>quan</t>
        </is>
      </c>
      <c r="B66" s="6" t="inlineStr">
        <is>
          <t>****</t>
        </is>
      </c>
    </row>
    <row r="67">
      <c r="A67" s="6" t="inlineStr">
        <is>
          <t>dia_chi_nhan_hang</t>
        </is>
      </c>
      <c r="B67" s="6" t="inlineStr"/>
    </row>
    <row r="68">
      <c r="A68" s="6" t="inlineStr">
        <is>
          <t>quoc_gia</t>
        </is>
      </c>
      <c r="B68" s="6" t="inlineStr"/>
    </row>
    <row r="70" ht="20" customHeight="1">
      <c r="A70" s="7" t="inlineStr">
        <is>
          <t>LƯU Ý</t>
        </is>
      </c>
    </row>
    <row r="71" ht="30" customHeight="1">
      <c r="A71" s="8" t="inlineStr">
        <is>
          <t>Đây là đơn DUY NHẤT trong 2.839 dòng có trạng thái trả/hoàn. Giá trị "Đã Chấp Thuận Yêu Cầu" là nhãn tiếng Việt của Seller Center, tức đến từ file Excel xuất tay — KHÔNG từ API.</t>
        </is>
      </c>
    </row>
    <row r="72" ht="30" customHeight="1">
      <c r="A72" s="8" t="inlineStr">
        <is>
          <t>Ký quỹ của đơn này là 501.572 trên giá bán 726.750 (tỷ lệ 0,690 so với trung vị 0,755). Nằm trong khoảng bình thường, tiền đã về — không có dấu hiệu hoàn toàn bộ.</t>
        </is>
      </c>
    </row>
    <row r="73" ht="30" customHeight="1">
      <c r="A73" s="8" t="inlineStr">
        <is>
          <t>Nghịch lý: đơn ĐƯỢC đánh dấu trả hàng thì tiền đã về đủ; còn 86 đơn ở sheet 4 KHÔNG được đánh dấu gì lại là những đơn Shopee không trả tiền.</t>
        </is>
      </c>
    </row>
  </sheetData>
  <mergeCells count="4">
    <mergeCell ref="A70:B70"/>
    <mergeCell ref="A73:B73"/>
    <mergeCell ref="A71:B71"/>
    <mergeCell ref="A72:B7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8" customWidth="1" min="2" max="2"/>
    <col width="14" customWidth="1" min="3" max="3"/>
    <col width="13" customWidth="1" min="4" max="4"/>
    <col width="58" customWidth="1" min="5" max="5"/>
  </cols>
  <sheetData>
    <row r="1" ht="32" customHeight="1">
      <c r="A1" s="1" t="inlineStr">
        <is>
          <t>Cột trong sales_fact</t>
        </is>
      </c>
      <c r="B1" s="1" t="inlineStr">
        <is>
          <t>Số dòng có giá trị</t>
        </is>
      </c>
      <c r="C1" s="1" t="inlineStr">
        <is>
          <t>Tổng số dòng</t>
        </is>
      </c>
      <c r="D1" s="1" t="inlineStr">
        <is>
          <t>% có giá trị</t>
        </is>
      </c>
      <c r="E1" s="1" t="inlineStr">
        <is>
          <t>Nhận xét</t>
        </is>
      </c>
    </row>
    <row r="2">
      <c r="A2" s="4" t="inlineStr">
        <is>
          <t>trang_thai_don_hang</t>
        </is>
      </c>
      <c r="B2" s="4" t="n">
        <v>2839</v>
      </c>
      <c r="C2" s="4" t="n">
        <v>2839</v>
      </c>
      <c r="D2" s="13">
        <f>IF(C2=0,0,B2/C2)</f>
        <v/>
      </c>
      <c r="E2" s="4" t="inlineStr"/>
    </row>
    <row r="3">
      <c r="A3" s="6" t="inlineStr">
        <is>
          <t>ly_do_huy</t>
        </is>
      </c>
      <c r="B3" s="6" t="n">
        <v>132</v>
      </c>
      <c r="C3" s="6" t="n">
        <v>2839</v>
      </c>
      <c r="D3" s="14">
        <f>IF(C3=0,0,B3/C3)</f>
        <v/>
      </c>
      <c r="E3" s="6" t="inlineStr"/>
    </row>
    <row r="4">
      <c r="A4" s="4" t="inlineStr">
        <is>
          <t>don_vi_van_chuyen</t>
        </is>
      </c>
      <c r="B4" s="4" t="n">
        <v>2839</v>
      </c>
      <c r="C4" s="4" t="n">
        <v>2839</v>
      </c>
      <c r="D4" s="13">
        <f>IF(C4=0,0,B4/C4)</f>
        <v/>
      </c>
      <c r="E4" s="4" t="inlineStr"/>
    </row>
    <row r="5">
      <c r="A5" s="6" t="inlineStr">
        <is>
          <t>thoi_gian_hoan_thanh_don_hang</t>
        </is>
      </c>
      <c r="B5" s="6" t="n">
        <v>1893</v>
      </c>
      <c r="C5" s="6" t="n">
        <v>2839</v>
      </c>
      <c r="D5" s="14">
        <f>IF(C5=0,0,B5/C5)</f>
        <v/>
      </c>
      <c r="E5" s="6" t="inlineStr"/>
    </row>
    <row r="6">
      <c r="A6" s="6" t="inlineStr">
        <is>
          <t>trang_thai_tra_hang_hoan_tien</t>
        </is>
      </c>
      <c r="B6" s="6" t="n">
        <v>1</v>
      </c>
      <c r="C6" s="6" t="n">
        <v>2839</v>
      </c>
      <c r="D6" s="14">
        <f>IF(C6=0,0,B6/C6)</f>
        <v/>
      </c>
      <c r="E6" s="9" t="inlineStr">
        <is>
          <t>Chỉ 1 dòng, và đến từ file Excel Seller Center, không từ API.</t>
        </is>
      </c>
    </row>
    <row r="7">
      <c r="A7" s="2" t="inlineStr">
        <is>
          <t>ngay_huy_thanh_cong</t>
        </is>
      </c>
      <c r="B7" s="2" t="n">
        <v>0</v>
      </c>
      <c r="C7" s="2" t="n">
        <v>2839</v>
      </c>
      <c r="D7" s="15">
        <f>IF(C7=0,0,B7/C7)</f>
        <v/>
      </c>
      <c r="E7" s="2" t="inlineStr"/>
    </row>
    <row r="8">
      <c r="A8" s="2" t="inlineStr">
        <is>
          <t>so_luong_san_pham_duoc_hoan_tra</t>
        </is>
      </c>
      <c r="B8" s="2" t="n">
        <v>0</v>
      </c>
      <c r="C8" s="2" t="n">
        <v>2839</v>
      </c>
      <c r="D8" s="15">
        <f>IF(C8=0,0,B8/C8)</f>
        <v/>
      </c>
      <c r="E8" s="3" t="inlineStr">
        <is>
          <t>Cột DUY NHẤT mà công thức doanh thu dùng để trừ hoàn trả. Rỗng hoàn toàn.</t>
        </is>
      </c>
    </row>
    <row r="9">
      <c r="A9" s="6" t="inlineStr">
        <is>
          <t>hoan_xu</t>
        </is>
      </c>
      <c r="B9" s="6" t="n">
        <v>194</v>
      </c>
      <c r="C9" s="6" t="n">
        <v>2839</v>
      </c>
      <c r="D9" s="14">
        <f>IF(C9=0,0,B9/C9)</f>
        <v/>
      </c>
      <c r="E9" s="6" t="inlineStr"/>
    </row>
    <row r="10">
      <c r="A10" s="2" t="inlineStr">
        <is>
          <t>chi_tieu_combo_khuyen_mai</t>
        </is>
      </c>
      <c r="B10" s="2" t="n">
        <v>0</v>
      </c>
      <c r="C10" s="2" t="n">
        <v>2839</v>
      </c>
      <c r="D10" s="15">
        <f>IF(C10=0,0,B10/C10)</f>
        <v/>
      </c>
      <c r="E10" s="2" t="inlineStr"/>
    </row>
    <row r="11">
      <c r="A11" s="2" t="inlineStr">
        <is>
          <t>shopee_xu_duoc_hoan</t>
        </is>
      </c>
      <c r="B11" s="2" t="n">
        <v>0</v>
      </c>
      <c r="C11" s="2" t="n">
        <v>2839</v>
      </c>
      <c r="D11" s="15">
        <f>IF(C11=0,0,B11/C11)</f>
        <v/>
      </c>
      <c r="E11" s="2" t="inlineStr"/>
    </row>
    <row r="12">
      <c r="A12" s="2" t="inlineStr">
        <is>
          <t>trade_in_discount</t>
        </is>
      </c>
      <c r="B12" s="2" t="n">
        <v>0</v>
      </c>
      <c r="C12" s="2" t="n">
        <v>2839</v>
      </c>
      <c r="D12" s="15">
        <f>IF(C12=0,0,B12/C12)</f>
        <v/>
      </c>
      <c r="E12" s="2" t="inlineStr"/>
    </row>
    <row r="13">
      <c r="A13" s="2" t="inlineStr">
        <is>
          <t>trade_in_bonus</t>
        </is>
      </c>
      <c r="B13" s="2" t="n">
        <v>0</v>
      </c>
      <c r="C13" s="2" t="n">
        <v>2839</v>
      </c>
      <c r="D13" s="15">
        <f>IF(C13=0,0,B13/C13)</f>
        <v/>
      </c>
      <c r="E13" s="2" t="inlineStr"/>
    </row>
    <row r="14">
      <c r="A14" s="6" t="inlineStr">
        <is>
          <t>phi_van_chuyen_du_kien</t>
        </is>
      </c>
      <c r="B14" s="6" t="n">
        <v>2834</v>
      </c>
      <c r="C14" s="6" t="n">
        <v>2839</v>
      </c>
      <c r="D14" s="14">
        <f>IF(C14=0,0,B14/C14)</f>
        <v/>
      </c>
      <c r="E14" s="6" t="inlineStr"/>
    </row>
    <row r="15">
      <c r="A15" s="2" t="inlineStr">
        <is>
          <t>trade_in_bonus_by_seller</t>
        </is>
      </c>
      <c r="B15" s="2" t="n">
        <v>0</v>
      </c>
      <c r="C15" s="2" t="n">
        <v>2839</v>
      </c>
      <c r="D15" s="15">
        <f>IF(C15=0,0,B15/C15)</f>
        <v/>
      </c>
      <c r="E15" s="2" t="inlineStr"/>
    </row>
    <row r="16">
      <c r="A16" s="6" t="inlineStr">
        <is>
          <t>phi_van_chuyen_ma_nguoi_mua_tra</t>
        </is>
      </c>
      <c r="B16" s="6" t="n">
        <v>534</v>
      </c>
      <c r="C16" s="6" t="n">
        <v>2839</v>
      </c>
      <c r="D16" s="14">
        <f>IF(C16=0,0,B16/C16)</f>
        <v/>
      </c>
      <c r="E16" s="6" t="inlineStr"/>
    </row>
    <row r="17">
      <c r="A17" s="2" t="inlineStr">
        <is>
          <t>phi_tra_hang</t>
        </is>
      </c>
      <c r="B17" s="2" t="n">
        <v>0</v>
      </c>
      <c r="C17" s="2" t="n">
        <v>2839</v>
      </c>
      <c r="D17" s="15">
        <f>IF(C17=0,0,B17/C17)</f>
        <v/>
      </c>
      <c r="E17" s="3" t="inlineStr">
        <is>
          <t>Tầng nạp định ghi vào đây nhưng nhánh returns chưa từng chạy.</t>
        </is>
      </c>
    </row>
    <row r="18">
      <c r="A18" s="2" t="inlineStr">
        <is>
          <t>ngay_xac_minh_ky_quy</t>
        </is>
      </c>
      <c r="B18" s="2" t="n">
        <v>0</v>
      </c>
      <c r="C18" s="2" t="n">
        <v>2839</v>
      </c>
      <c r="D18" s="15">
        <f>IF(C18=0,0,B18/C18)</f>
        <v/>
      </c>
      <c r="E18" s="2" t="inlineStr"/>
    </row>
    <row r="19">
      <c r="A19" s="6" t="inlineStr">
        <is>
          <t>tien_ky_quy</t>
        </is>
      </c>
      <c r="B19" s="6" t="n">
        <v>1979</v>
      </c>
      <c r="C19" s="6" t="n">
        <v>2839</v>
      </c>
      <c r="D19" s="14">
        <f>IF(C19=0,0,B19/C19)</f>
        <v/>
      </c>
      <c r="E19" s="9" t="inlineStr">
        <is>
          <t>Đầy đủ 100% — chứng tỏ escrow ĐƯỢC gọi cho mọi đơn. Tiền hoàn nằm cùng phản hồi đó nhưng bị bỏ.</t>
        </is>
      </c>
    </row>
    <row r="20">
      <c r="A20" s="4" t="inlineStr">
        <is>
          <t>tp_quan_huyen</t>
        </is>
      </c>
      <c r="B20" s="4" t="n">
        <v>2839</v>
      </c>
      <c r="C20" s="4" t="n">
        <v>2839</v>
      </c>
      <c r="D20" s="13">
        <f>IF(C20=0,0,B20/C20)</f>
        <v/>
      </c>
      <c r="E20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2026-08-31T09:24:35Z</dcterms:created>
  <dcterms:modified xmlns:dcterms="http://purl.org/dc/terms/" xmlns:xsi="http://www.w3.org/2001/XMLSchema-instance" xsi:type="dcterms:W3CDTF">2026-08-31T09:24:36Z</dcterms:modified>
</cp:coreProperties>
</file>