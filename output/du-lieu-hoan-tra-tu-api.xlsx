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https://d.docs.live.net/28715848d4b44abd/SE LTD/0. General Document/16. AI/SE Dashboard/output/"/>
    </mc:Choice>
  </mc:AlternateContent>
  <xr:revisionPtr revIDLastSave="4" documentId="11_B83436648AF8F6CA230336C14732131ABEE5F006" xr6:coauthVersionLast="47" xr6:coauthVersionMax="47" xr10:uidLastSave="{479E928D-D6E7-2B4A-966C-EEFC24A4A47E}"/>
  <bookViews>
    <workbookView xWindow="0" yWindow="780" windowWidth="34200" windowHeight="20380" activeTab="2" xr2:uid="{00000000-000D-0000-FFFF-FFFF00000000}"/>
  </bookViews>
  <sheets>
    <sheet name="1. Yeu cau tra hang" sheetId="1" r:id="rId1"/>
    <sheet name="2. San pham hoan" sheetId="2" r:id="rId2"/>
    <sheet name="3. Tong hop theo thang" sheetId="3" r:id="rId3"/>
    <sheet name="4. Doi chieu doanh thu" sheetId="4" r:id="rId4"/>
    <sheet name="5. Don co nhieu YC" sheetId="5" r:id="rId5"/>
    <sheet name="6. Ba phuong an tru"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6" l="1"/>
  <c r="D5" i="6"/>
  <c r="F4" i="6"/>
  <c r="D4" i="6"/>
  <c r="F3" i="6"/>
  <c r="D3" i="6"/>
  <c r="F2" i="6"/>
  <c r="D2" i="6"/>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J3" i="4"/>
  <c r="J2" i="4"/>
  <c r="I20" i="3"/>
  <c r="H20" i="3"/>
  <c r="G20" i="3"/>
  <c r="F20" i="3"/>
  <c r="E20" i="3"/>
  <c r="D20" i="3"/>
  <c r="C20" i="3"/>
  <c r="B20" i="3"/>
  <c r="H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 r="J128" i="2" s="1"/>
  <c r="M112" i="1"/>
  <c r="H112" i="1"/>
</calcChain>
</file>

<file path=xl/sharedStrings.xml><?xml version="1.0" encoding="utf-8"?>
<sst xmlns="http://schemas.openxmlformats.org/spreadsheetml/2006/main" count="2618" uniqueCount="717">
  <si>
    <t>Mã yêu cầu trả</t>
  </si>
  <si>
    <t>Mã đơn hàng</t>
  </si>
  <si>
    <t>Ngày tạo YC</t>
  </si>
  <si>
    <t>Ngày cập nhật</t>
  </si>
  <si>
    <t>Trạng thái</t>
  </si>
  <si>
    <t>Lý do</t>
  </si>
  <si>
    <t>Lý do khách gõ</t>
  </si>
  <si>
    <t>TIỀN HOÀN (đ)</t>
  </si>
  <si>
    <t>Tiền trước giảm giá</t>
  </si>
  <si>
    <t>Tiền tệ</t>
  </si>
  <si>
    <t>Cần gửi hàng về</t>
  </si>
  <si>
    <t>Mã vận đơn hoàn</t>
  </si>
  <si>
    <t>Số SP hoàn</t>
  </si>
  <si>
    <t>Đơn có nhiều YC?</t>
  </si>
  <si>
    <t>25030700N3BEE4S</t>
  </si>
  <si>
    <t>250303K3EHCTJC</t>
  </si>
  <si>
    <t>2025-03-07</t>
  </si>
  <si>
    <t>ACCEPTED</t>
  </si>
  <si>
    <t>CHANGE_MIND</t>
  </si>
  <si>
    <t>VND</t>
  </si>
  <si>
    <t>có</t>
  </si>
  <si>
    <t>SPXVN059091812733</t>
  </si>
  <si>
    <t>2503170SSNPH63P</t>
  </si>
  <si>
    <t>250316RDT48KDD</t>
  </si>
  <si>
    <t>2025-03-17</t>
  </si>
  <si>
    <t>2025-03-19</t>
  </si>
  <si>
    <t>WRONG_ORDER_INFO</t>
  </si>
  <si>
    <t>không</t>
  </si>
  <si>
    <t>2503270NK815UU8</t>
  </si>
  <si>
    <t>250325FMB9SHXM</t>
  </si>
  <si>
    <t>2025-03-27</t>
  </si>
  <si>
    <t>2025-03-29</t>
  </si>
  <si>
    <t>SPXVN054053581503</t>
  </si>
  <si>
    <t>2504160EC0WHK9X</t>
  </si>
  <si>
    <t>250416DDVER720</t>
  </si>
  <si>
    <t>2025-04-16</t>
  </si>
  <si>
    <t>2025-04-21</t>
  </si>
  <si>
    <t>CLOSED</t>
  </si>
  <si>
    <t>Không phải loại mình cần</t>
  </si>
  <si>
    <t>SPXVN055777819914</t>
  </si>
  <si>
    <t>2504180K9RHCXCG</t>
  </si>
  <si>
    <t>250418JJGJS9TF</t>
  </si>
  <si>
    <t>2025-04-18</t>
  </si>
  <si>
    <t>2025-04-19</t>
  </si>
  <si>
    <t>CHANGE_OF_MIND</t>
  </si>
  <si>
    <t>25042506ASW3F71</t>
  </si>
  <si>
    <t>250420QWE9HWNA</t>
  </si>
  <si>
    <t>2025-04-24</t>
  </si>
  <si>
    <t>2025-04-27</t>
  </si>
  <si>
    <t>SPXVN051595810514</t>
  </si>
  <si>
    <t>2504260A2DSVP2M</t>
  </si>
  <si>
    <t>25042585HN727U</t>
  </si>
  <si>
    <t>2025-04-26</t>
  </si>
  <si>
    <t>2504270DD79P9CW</t>
  </si>
  <si>
    <t>2504268X8FU47J</t>
  </si>
  <si>
    <t>DIFFERENT_DESCRIPTION</t>
  </si>
  <si>
    <t>Gối này mình ko thấy đàn hồi chậm 5s Như shop quảng cáo mà đàn hồi liền. Ko giống 2 cái gối đàn hồi 5s như mình mua trước đó.</t>
  </si>
  <si>
    <t>SPXVN050302346134</t>
  </si>
  <si>
    <t>2504280ET4JF7TY</t>
  </si>
  <si>
    <t>2504258HVXQNQC</t>
  </si>
  <si>
    <t>2025-04-28</t>
  </si>
  <si>
    <t>2025-05-04</t>
  </si>
  <si>
    <t>WRONG_ITEM</t>
  </si>
  <si>
    <t>Đặt màu tím giao màu xanh</t>
  </si>
  <si>
    <t>SPXVN058892255934</t>
  </si>
  <si>
    <t>2505110KJRJNS8V</t>
  </si>
  <si>
    <t>250508BDR4XEMS</t>
  </si>
  <si>
    <t>2025-05-11</t>
  </si>
  <si>
    <t>2025-06-06</t>
  </si>
  <si>
    <t>LONG_DELIVERY_TIME</t>
  </si>
  <si>
    <t>25052803Q9VHMRT</t>
  </si>
  <si>
    <t>250528339F2K60</t>
  </si>
  <si>
    <t>2025-05-28</t>
  </si>
  <si>
    <t>2025-06-03</t>
  </si>
  <si>
    <t>Hàng đàn hồi ít không thông hơi bí</t>
  </si>
  <si>
    <t>SPXVN059268905045</t>
  </si>
  <si>
    <t>2506020FK24RFTE</t>
  </si>
  <si>
    <t>25052964PB2H9V</t>
  </si>
  <si>
    <t>2025-06-02</t>
  </si>
  <si>
    <t>2025-06-05</t>
  </si>
  <si>
    <t>Chất liệu không mát, màu xỉn hơn ảnh mẫu.</t>
  </si>
  <si>
    <t>SPXVN051620189386</t>
  </si>
  <si>
    <t>2506030JHQA22KW</t>
  </si>
  <si>
    <t>250601CSY88FPH</t>
  </si>
  <si>
    <t>ITEM_MISSING</t>
  </si>
  <si>
    <t>SPXVN058071151816</t>
  </si>
  <si>
    <t>2506040N90M34D7</t>
  </si>
  <si>
    <t>250602GB96X7R1</t>
  </si>
  <si>
    <t>2025-06-04</t>
  </si>
  <si>
    <t>2025-06-08</t>
  </si>
  <si>
    <t>Cứng đơ</t>
  </si>
  <si>
    <t>SPXVN050668133136</t>
  </si>
  <si>
    <t>25060802JT3T411</t>
  </si>
  <si>
    <t>250606RS4WBJ2S</t>
  </si>
  <si>
    <t>2025-06-18</t>
  </si>
  <si>
    <t>Shop cho mình gửi lại chăn, chăn màu sáng và dày hơn ý định của mình. Cảm ơn Shop!</t>
  </si>
  <si>
    <t>SPXVN052379754106</t>
  </si>
  <si>
    <t>25061109DT5A0Q9</t>
  </si>
  <si>
    <t>250606RG8S04PG</t>
  </si>
  <si>
    <t>2025-06-11</t>
  </si>
  <si>
    <t>2025-06-13</t>
  </si>
  <si>
    <t>Không còn nhu cầu</t>
  </si>
  <si>
    <t>SPXVN057987538156</t>
  </si>
  <si>
    <t>2506120BM5MFSWQ</t>
  </si>
  <si>
    <t>250607VQ0JJD5V</t>
  </si>
  <si>
    <t>2025-06-12</t>
  </si>
  <si>
    <t>2025-06-17</t>
  </si>
  <si>
    <t>SPXVN053607303466</t>
  </si>
  <si>
    <t>2506160MK13P7MB</t>
  </si>
  <si>
    <t>250615KHT6USXY</t>
  </si>
  <si>
    <t>2025-06-15</t>
  </si>
  <si>
    <t>2025-06-19</t>
  </si>
  <si>
    <t>25062106B1K55UK</t>
  </si>
  <si>
    <t>2506203NWPA3KJ</t>
  </si>
  <si>
    <t>2025-06-21</t>
  </si>
  <si>
    <t>2025-06-23</t>
  </si>
  <si>
    <t>CANCELLED</t>
  </si>
  <si>
    <t>25062207QMMXA7B</t>
  </si>
  <si>
    <t>2506201UFJ9ATN</t>
  </si>
  <si>
    <t>2025-06-22</t>
  </si>
  <si>
    <t>FUNCTIONAL_DMG</t>
  </si>
  <si>
    <t>Chỉ tét chỉ và dơ. Vết dơ quá nhiều, đó là nhớt bên trong.
Shop có thể giao 1 sản phẩm khác hoặc giảm tiền. Cám ơn. 
Giá 382k mà sản phẩm kỳ</t>
  </si>
  <si>
    <t>SPXVN057738290806</t>
  </si>
  <si>
    <t>2507050BAU5GH9P</t>
  </si>
  <si>
    <t>2507012EF6R6A3</t>
  </si>
  <si>
    <t>2025-07-05</t>
  </si>
  <si>
    <t>2025-07-08</t>
  </si>
  <si>
    <t>chị đặt nhầm size</t>
  </si>
  <si>
    <t>GYGKTATM</t>
  </si>
  <si>
    <t>2507070F5UFQ13W</t>
  </si>
  <si>
    <t>250625F9DQ5G40</t>
  </si>
  <si>
    <t>2025-07-06</t>
  </si>
  <si>
    <t>2025-07-14</t>
  </si>
  <si>
    <t>SPXVN050538651037</t>
  </si>
  <si>
    <t>2507070FFPA9JMW</t>
  </si>
  <si>
    <t>250706DK2W0E6T</t>
  </si>
  <si>
    <t>2025-07-09</t>
  </si>
  <si>
    <t>WRONG_ADDRESS</t>
  </si>
  <si>
    <t>2507100RH2C743N</t>
  </si>
  <si>
    <t>250710PNQE02R3</t>
  </si>
  <si>
    <t>2025-07-10</t>
  </si>
  <si>
    <t>2025-07-13</t>
  </si>
  <si>
    <t>25071609VURKYYU</t>
  </si>
  <si>
    <t>25071451KKASDF</t>
  </si>
  <si>
    <t>2025-07-16</t>
  </si>
  <si>
    <t>2025-07-20</t>
  </si>
  <si>
    <t>Cái đầu tiên nhận hàng ko hài lòng lắm, nệm ngồi lên xẹp lún đụng nền. Lỡ bung ra rồi gói lại không được nên cái thứ 2 mình trả lại nhé. Hàng còn nguyên seal chưa khui</t>
  </si>
  <si>
    <t>GYUFHMLB</t>
  </si>
  <si>
    <t>2507160B0NPBJT0</t>
  </si>
  <si>
    <t>2507024SRS6A7M</t>
  </si>
  <si>
    <t>2025-07-21</t>
  </si>
  <si>
    <t>SPXVN053830582187</t>
  </si>
  <si>
    <t>2507170CNPDYA59</t>
  </si>
  <si>
    <t>2507145RJFYPNQ</t>
  </si>
  <si>
    <t>2025-07-17</t>
  </si>
  <si>
    <t>2025-07-22</t>
  </si>
  <si>
    <t>Sản phẩm có độ cứng thấp hơn rất nhiều so với mô tả, nằm lâu bị mỏi và nhún cơ, cảm giác mật độ form hơi thấp và nệm khá nhẹ</t>
  </si>
  <si>
    <t>GYUGG4EL</t>
  </si>
  <si>
    <t>2507180FPNVUEM5</t>
  </si>
  <si>
    <t>2507168K3DWTEQ</t>
  </si>
  <si>
    <t>2025-07-18</t>
  </si>
  <si>
    <t>2025-07-24</t>
  </si>
  <si>
    <t>Nệm quá mềm</t>
  </si>
  <si>
    <t>GYU6HPEU</t>
  </si>
  <si>
    <t>2507280B3MPQ2SJ</t>
  </si>
  <si>
    <t>25072526VUDF1V</t>
  </si>
  <si>
    <t>2025-07-28</t>
  </si>
  <si>
    <t>2025-08-03</t>
  </si>
  <si>
    <t>GYUKMQQB</t>
  </si>
  <si>
    <t>2507280B6RT2UUR</t>
  </si>
  <si>
    <t>2507253P2DX5N8</t>
  </si>
  <si>
    <t>2025-07-31</t>
  </si>
  <si>
    <t>SPXVN058470366817</t>
  </si>
  <si>
    <t>2507280BEW0KQQK</t>
  </si>
  <si>
    <t>2507254JYQKHU1</t>
  </si>
  <si>
    <t>2025-08-04</t>
  </si>
  <si>
    <t>Khác với mô tả</t>
  </si>
  <si>
    <t>GYUW9KMF</t>
  </si>
  <si>
    <t>2507290E447BFHE</t>
  </si>
  <si>
    <t>2507254D7E3H9T</t>
  </si>
  <si>
    <t>2025-07-29</t>
  </si>
  <si>
    <t>2025-08-05</t>
  </si>
  <si>
    <t>SPXVN050219446787</t>
  </si>
  <si>
    <t>2507310JF1P4WKT</t>
  </si>
  <si>
    <t>250729EJDCPPPS</t>
  </si>
  <si>
    <t>Chất vải dày nóng, không mát như mô tả!</t>
  </si>
  <si>
    <t>SPXVN050954187137</t>
  </si>
  <si>
    <t>2508110HJ36BEA6</t>
  </si>
  <si>
    <t>2508064BK59R2D</t>
  </si>
  <si>
    <t>2025-08-11</t>
  </si>
  <si>
    <t>2025-08-18</t>
  </si>
  <si>
    <t>SPXVN056432560618</t>
  </si>
  <si>
    <t>2508200AP87PQM9</t>
  </si>
  <si>
    <t>250820A4KYTKAA</t>
  </si>
  <si>
    <t>2025-08-20</t>
  </si>
  <si>
    <t>2025-08-21</t>
  </si>
  <si>
    <t>25082801QTF9NY0</t>
  </si>
  <si>
    <t>2508281GBJMM2B</t>
  </si>
  <si>
    <t>2025-08-28</t>
  </si>
  <si>
    <t>2025-09-03</t>
  </si>
  <si>
    <t>Chất vải không mát</t>
  </si>
  <si>
    <t>SPXVN053673241568</t>
  </si>
  <si>
    <t>25082904AURQY6D</t>
  </si>
  <si>
    <t>250825NXATNTU1</t>
  </si>
  <si>
    <t>2025-08-29</t>
  </si>
  <si>
    <t>2025-08-31</t>
  </si>
  <si>
    <t>Gối ko vừa với kích cỡ đầu</t>
  </si>
  <si>
    <t>SPXVN052340450868</t>
  </si>
  <si>
    <t>25083007S9W35Q7</t>
  </si>
  <si>
    <t>2508282M8RBKKA</t>
  </si>
  <si>
    <t>2025-08-30</t>
  </si>
  <si>
    <t>2025-09-05</t>
  </si>
  <si>
    <t>không còn nhu cầu</t>
  </si>
  <si>
    <t>GY9G9999</t>
  </si>
  <si>
    <t>2509060RBUYVRPM</t>
  </si>
  <si>
    <t>250903GQSCUJ5A</t>
  </si>
  <si>
    <t>2025-09-06</t>
  </si>
  <si>
    <t>2025-09-11</t>
  </si>
  <si>
    <t>Muốn đổi qua mẫu khác</t>
  </si>
  <si>
    <t>SPXVN059904879549</t>
  </si>
  <si>
    <t>25090902H4G431V</t>
  </si>
  <si>
    <t>250825R7XY7E7S</t>
  </si>
  <si>
    <t>2025-09-09</t>
  </si>
  <si>
    <t>2025-09-16</t>
  </si>
  <si>
    <t>SPXVN050405176869</t>
  </si>
  <si>
    <t>2509180T6MDU00X</t>
  </si>
  <si>
    <t>250912B98RTVTG</t>
  </si>
  <si>
    <t>2025-09-18</t>
  </si>
  <si>
    <t>2025-09-24</t>
  </si>
  <si>
    <t>SPXVN057229687959</t>
  </si>
  <si>
    <t>25092001V94FJJY</t>
  </si>
  <si>
    <t>250913CKKSF6A3</t>
  </si>
  <si>
    <t>2025-09-20</t>
  </si>
  <si>
    <t>2025-09-23</t>
  </si>
  <si>
    <t>2509270KTHT6QX2</t>
  </si>
  <si>
    <t>25092023HEE7F7</t>
  </si>
  <si>
    <t>2025-09-27</t>
  </si>
  <si>
    <t>2025-10-01</t>
  </si>
  <si>
    <t>SPXVN059970331449</t>
  </si>
  <si>
    <t>2509290QRJKG760</t>
  </si>
  <si>
    <t>25092024M2JG0B</t>
  </si>
  <si>
    <t>2025-09-29</t>
  </si>
  <si>
    <t>NOT_RECEIPT</t>
  </si>
  <si>
    <t>2509290RQMCQCE3</t>
  </si>
  <si>
    <t>250927HN0M3P71</t>
  </si>
  <si>
    <t>2025-10-03</t>
  </si>
  <si>
    <t>Shop thông cảm em đặt giường 1m8 nhưng thợ đến hôm nay mới nói em chỉ làm giường 1m6 nên nệm ko vừa</t>
  </si>
  <si>
    <t>GYVVYEP9</t>
  </si>
  <si>
    <t>2510010UR8WKNXN</t>
  </si>
  <si>
    <t>250930TRQKJMTF</t>
  </si>
  <si>
    <t>2025-09-30</t>
  </si>
  <si>
    <t>2025-10-04</t>
  </si>
  <si>
    <t>bị dị ứng với chất vải.</t>
  </si>
  <si>
    <t>SPXVN05056736726A</t>
  </si>
  <si>
    <t>2510110S1NS5FN3</t>
  </si>
  <si>
    <t>251009MMFWUE7V</t>
  </si>
  <si>
    <t>2025-10-11</t>
  </si>
  <si>
    <t>2025-10-15</t>
  </si>
  <si>
    <t>SPXVN05332218187A</t>
  </si>
  <si>
    <t>2510120U0DAJAA6</t>
  </si>
  <si>
    <t>251010N8BW8K6C</t>
  </si>
  <si>
    <t>2025-10-12</t>
  </si>
  <si>
    <t>Tôi mua 2 cái đệm cùng loại, khác kích thước. Loại nhỏ hơn tới trc có mở ra test thử thì độ dày cũng đạt theo dung sai, nhưng nệm loại này quá mềm nằm sẽ đau lưng.</t>
  </si>
  <si>
    <t>2510120U0MWQUE5</t>
  </si>
  <si>
    <t>251009M99F38DK</t>
  </si>
  <si>
    <t>2025-10-16</t>
  </si>
  <si>
    <t>Tôi mua 2 tấm nệm nhận trc 1 tấm, nhưng nó mềm quá, dù độ dày đã chọn 22cm; tôi trả hoàn mua loại lò xo của hãng luôn</t>
  </si>
  <si>
    <t>GYV8XHBD</t>
  </si>
  <si>
    <t>25101403CGN7FXQ</t>
  </si>
  <si>
    <t>251009MHWSJPH3</t>
  </si>
  <si>
    <t>2025-10-14</t>
  </si>
  <si>
    <t>2025-10-19</t>
  </si>
  <si>
    <t>Màu khác ảnh
Chất ko mát như mấy chất m hay mua
 Đường trẦn thưa</t>
  </si>
  <si>
    <t>SPXVN05722020451A</t>
  </si>
  <si>
    <t>2510170AFM96NPF</t>
  </si>
  <si>
    <t>251010N6Q3AJ6D</t>
  </si>
  <si>
    <t>2025-10-17</t>
  </si>
  <si>
    <t>2025-10-22</t>
  </si>
  <si>
    <t>Viền chăn không giống, khác mẫu mã
Chăn nhăn nhiều khác quảng cáo
Nhiều chỉ thừa. Đường may k đều</t>
  </si>
  <si>
    <t>SPXVN05916480449A</t>
  </si>
  <si>
    <t>2510170BJKWSDVR</t>
  </si>
  <si>
    <t>2510169EAGTJS1</t>
  </si>
  <si>
    <t>2025-10-21</t>
  </si>
  <si>
    <t>ITEM_FAKE</t>
  </si>
  <si>
    <t>Giặt tay theo hướng dẫn nhưng chăn vẫn bị sổ bông ngay lần đầu giặt và nhãn mác sau khi ngâm nước giặt cũng bị bay màu hết không còn thông tin nhãn mác nào cả. Chứng tỏ chăn làm rất ẩu và chất lượng kém. 
Chăn trong ảnh mẫu là chăn suôn không vết thêu, chăn nhận được là loại khác.</t>
  </si>
  <si>
    <t>SPXVN05075365468A</t>
  </si>
  <si>
    <t>2510190FQM8MMUU</t>
  </si>
  <si>
    <t>251009MUFCHUWH</t>
  </si>
  <si>
    <t>2025-10-24</t>
  </si>
  <si>
    <t>SPXVN05519420886A</t>
  </si>
  <si>
    <t>2510190FUQ9WPGF</t>
  </si>
  <si>
    <t>2510156Q8KCXWP</t>
  </si>
  <si>
    <t>Choose wrong size</t>
  </si>
  <si>
    <t>GY67EVPY</t>
  </si>
  <si>
    <t>2510210MTUSX7GJ</t>
  </si>
  <si>
    <t>251020JCS8T2WC</t>
  </si>
  <si>
    <t>có một số lý do, shop duyệt giúp em nha</t>
  </si>
  <si>
    <t>SPXVN05653212322A</t>
  </si>
  <si>
    <t>25102706JEJSNNV</t>
  </si>
  <si>
    <t>251020JPMCVJYH</t>
  </si>
  <si>
    <t>2025-10-27</t>
  </si>
  <si>
    <t>2025-10-30</t>
  </si>
  <si>
    <t>Gối cứng so với tưởng tượng, nằm thử bị đau đầu. Trả để đổi thành loại mềm</t>
  </si>
  <si>
    <t>SPXVN05644145512A</t>
  </si>
  <si>
    <t>25102707KTJNRNQ</t>
  </si>
  <si>
    <t>251011QWHCQY36</t>
  </si>
  <si>
    <t>2025-10-31</t>
  </si>
  <si>
    <t>Gối quá mềm, gần như không khác gì gối thông thường. Gối còn nguyên trong túi nylon. Chưa qua sử dụng.</t>
  </si>
  <si>
    <t>SPXVN05890604958A</t>
  </si>
  <si>
    <t>25112903R3KKP3F</t>
  </si>
  <si>
    <t>251115RDXAP6CF</t>
  </si>
  <si>
    <t>2025-11-29</t>
  </si>
  <si>
    <t>2025-12-03</t>
  </si>
  <si>
    <t>SPXVN05474832150B</t>
  </si>
  <si>
    <t>2512050JC73075F</t>
  </si>
  <si>
    <t>251203DUPND300</t>
  </si>
  <si>
    <t>2025-12-05</t>
  </si>
  <si>
    <t>2025-12-09</t>
  </si>
  <si>
    <t>Mô tả nệm cứng độ 8/10 nhưng lại rất mềm chỉ khoảng 5 nên không phù hợp với người bệnh xương khớp như mẹ tôi.</t>
  </si>
  <si>
    <t>CÓ — xem sheet 5</t>
  </si>
  <si>
    <t>2512090V783R9JR</t>
  </si>
  <si>
    <t>2025-12-13</t>
  </si>
  <si>
    <t>Như tôi đã yêu cầu từ trước, nhân viên shopee cũng đã có gọi điện và làm theo hướng dẫn của nhân viên, nhưng tôi không nhận được sự hỗ trợ và tự ý huỷ đơn của tôi. Tôi xin phép được khiếu nại và hoàn trả hàng lần nữa.</t>
  </si>
  <si>
    <t>GYD6DDVD</t>
  </si>
  <si>
    <t>25121000U3SBV0F</t>
  </si>
  <si>
    <t>251209V34CHECB</t>
  </si>
  <si>
    <t>2025-12-10</t>
  </si>
  <si>
    <t>2025-12-18</t>
  </si>
  <si>
    <t>2512200TGQKEWPR</t>
  </si>
  <si>
    <t>251218NBY7XT3J</t>
  </si>
  <si>
    <t>2025-12-20</t>
  </si>
  <si>
    <t>2025-12-24</t>
  </si>
  <si>
    <t>SPXVN05489752967C</t>
  </si>
  <si>
    <t>2512200TV98U5RU</t>
  </si>
  <si>
    <t>251214BA9EXNRG</t>
  </si>
  <si>
    <t>2025-12-26</t>
  </si>
  <si>
    <t>25122509FCMRYJU</t>
  </si>
  <si>
    <t>2512127A8DKE7V</t>
  </si>
  <si>
    <t>2025-12-25</t>
  </si>
  <si>
    <t>đệm mềm quá tôi muốn đổi loại cứng hơn loại hybird của shop</t>
  </si>
  <si>
    <t>GYPFG9CV</t>
  </si>
  <si>
    <t>2512260BQ011G96</t>
  </si>
  <si>
    <t>25122477JYC6AC</t>
  </si>
  <si>
    <t>2025-12-29</t>
  </si>
  <si>
    <t>Mình muốn được đổi hàng ạ. Mình cám ơn</t>
  </si>
  <si>
    <t>SPXVN05250887918C</t>
  </si>
  <si>
    <t>26010405JST3QFD</t>
  </si>
  <si>
    <t>251229KP8BVEVU</t>
  </si>
  <si>
    <t>2026-01-04</t>
  </si>
  <si>
    <t>2026-01-06</t>
  </si>
  <si>
    <t>Mong shop cho mình trả hàng để đặt lại sản phẩm khác. Vì gối này thấp quá. Xin cảm ơn shop</t>
  </si>
  <si>
    <t>SPXVN069066912921</t>
  </si>
  <si>
    <t>2601110RF4EE9VG</t>
  </si>
  <si>
    <t>260109JCK57T19</t>
  </si>
  <si>
    <t>2026-01-11</t>
  </si>
  <si>
    <t>2026-01-17</t>
  </si>
  <si>
    <t>Gối cao quá người lớn tuổi nằm không được. Nên trả 1 cái, giữ 1 cái</t>
  </si>
  <si>
    <t>SPXVN067618675291</t>
  </si>
  <si>
    <t>2601180C34D8S89</t>
  </si>
  <si>
    <t>2601167EESPR9E</t>
  </si>
  <si>
    <t>2026-01-18</t>
  </si>
  <si>
    <t>2026-01-22</t>
  </si>
  <si>
    <t>2601200H31SMV5G</t>
  </si>
  <si>
    <t>260118C3FH0PSS</t>
  </si>
  <si>
    <t>2026-01-20</t>
  </si>
  <si>
    <t>2026-01-24</t>
  </si>
  <si>
    <t>Mền mỏng hơn nhu cầu sử dụng của tôi cần. Xin lỗi về sự bất tiện này</t>
  </si>
  <si>
    <t>SPXVN065764068791</t>
  </si>
  <si>
    <t>2601210K1CA9FAK</t>
  </si>
  <si>
    <t>260117853QSS8T</t>
  </si>
  <si>
    <t>2026-01-21</t>
  </si>
  <si>
    <t>Gối bí không thoáng khí như mô tả</t>
  </si>
  <si>
    <t>SPXVN062511431011</t>
  </si>
  <si>
    <t>2601210KR47S0U8</t>
  </si>
  <si>
    <t>260120H7JW311R</t>
  </si>
  <si>
    <t>Xin lỗi shop do mình bị bệnh lý tối qua ko ngủ đc nên đã đi mua gối khác. Cho mình gửi lại</t>
  </si>
  <si>
    <t>SPXVN066699868101</t>
  </si>
  <si>
    <t>2601240TXR0DY8M</t>
  </si>
  <si>
    <t>260123RN00X0RD</t>
  </si>
  <si>
    <t>2026-01-31</t>
  </si>
  <si>
    <t>SPXVN066065959761</t>
  </si>
  <si>
    <t>260127055GJ4MAG</t>
  </si>
  <si>
    <t>260122NESSA51X</t>
  </si>
  <si>
    <t>2026-01-27</t>
  </si>
  <si>
    <t>SPXVN065592936941</t>
  </si>
  <si>
    <t>260128087F9CNAQ</t>
  </si>
  <si>
    <t>26011540YJ64RP</t>
  </si>
  <si>
    <t>2026-01-28</t>
  </si>
  <si>
    <t>2026-02-12</t>
  </si>
  <si>
    <t>Đơn hàng đặt từ ngày 15/1/2026 đến nay đã lưu kho 10 ngày tại Hưng Yên và đơn vị vận chuyển không giao hàng cho ngươit nhận.  Do thời gian chờ giao hàng quá lâu, Tôi không còn nhu cầu sử dụng sản phẩm và yêu cầu trả hàng hoàn tiền cho tôi.</t>
  </si>
  <si>
    <t>26020807NM8XPP5</t>
  </si>
  <si>
    <t>2026-02-08</t>
  </si>
  <si>
    <t>Đã lưu kho &gt; 20 ngày tại Hưng Yên và tôi không còn nhu cầu nhận hàng và sử dụng sản phẩm.</t>
  </si>
  <si>
    <t>26030101WTPGJR9</t>
  </si>
  <si>
    <t>2602074X9RV4WG</t>
  </si>
  <si>
    <t>2026-03-01</t>
  </si>
  <si>
    <t>2026-03-12</t>
  </si>
  <si>
    <t>2603100QUGVWJ8C</t>
  </si>
  <si>
    <t>260224JTF0AMQY</t>
  </si>
  <si>
    <t>2026-03-10</t>
  </si>
  <si>
    <t>SPXVN065780421783</t>
  </si>
  <si>
    <t>2603210P2NH1TTE</t>
  </si>
  <si>
    <t>2603156Q3QW8HR</t>
  </si>
  <si>
    <t>2026-03-21</t>
  </si>
  <si>
    <t>2026-03-28</t>
  </si>
  <si>
    <t>Hàng vừa mới sử dụng đã bị sờm sợi bông bé bay lung tung ảnh hưởng sức khoẻ dính quần áo</t>
  </si>
  <si>
    <t>SPXVN064870435963</t>
  </si>
  <si>
    <t>26032606JBBTNFN</t>
  </si>
  <si>
    <t>260323VGYPDQGB</t>
  </si>
  <si>
    <t>2026-03-26</t>
  </si>
  <si>
    <t>2604040V7JHG40J</t>
  </si>
  <si>
    <t>260403SXGRGNQ8</t>
  </si>
  <si>
    <t>2026-04-04</t>
  </si>
  <si>
    <t>2026-04-08</t>
  </si>
  <si>
    <t>2604100FAH2669P</t>
  </si>
  <si>
    <t>260404W39NKJ0Y</t>
  </si>
  <si>
    <t>2026-04-10</t>
  </si>
  <si>
    <t>2026-04-16</t>
  </si>
  <si>
    <t>SPXVN069729596174</t>
  </si>
  <si>
    <t>2604230JGMEA7F7</t>
  </si>
  <si>
    <t>26041869E7YQNX</t>
  </si>
  <si>
    <t>2026-04-23</t>
  </si>
  <si>
    <t>2026-04-28</t>
  </si>
  <si>
    <t>Chăn này ko lạnh. Kiểu dạng thun</t>
  </si>
  <si>
    <t>SPXVN065114785584</t>
  </si>
  <si>
    <t>2605030EFE1WP4U</t>
  </si>
  <si>
    <t>260425PGRABEKF</t>
  </si>
  <si>
    <t>2026-05-03</t>
  </si>
  <si>
    <t>2026-05-07</t>
  </si>
  <si>
    <t>SPXVN060114688385</t>
  </si>
  <si>
    <t>2605090UX3R5KXA</t>
  </si>
  <si>
    <t>260502CPBKY62X</t>
  </si>
  <si>
    <t>2026-05-08</t>
  </si>
  <si>
    <t>2026-05-16</t>
  </si>
  <si>
    <t>USED</t>
  </si>
  <si>
    <t>vải chăn bị xước nhiều, như hàng đã qua sử dụng shop giao dịch ngoài nhưng mình kh yên tâm vì mình bị nhiều vụ rồi nên mình hoàn Sàn</t>
  </si>
  <si>
    <t>SPXVN067350649965</t>
  </si>
  <si>
    <t>2605100213WV538</t>
  </si>
  <si>
    <t>260505JQDQG3GA</t>
  </si>
  <si>
    <t>2026-05-09</t>
  </si>
  <si>
    <t>SPXVN062188611575</t>
  </si>
  <si>
    <t>260510023F24W6W</t>
  </si>
  <si>
    <t>260426SJNE2EST</t>
  </si>
  <si>
    <t>2026-05-10</t>
  </si>
  <si>
    <t>Giao hàng nhanh. Tuy nhiên hàng mới giặt lần đầu đã bị xù lông, vải bị giãn.</t>
  </si>
  <si>
    <t>SPXVN069044703375</t>
  </si>
  <si>
    <t>26051002D3DT90A</t>
  </si>
  <si>
    <t>2026-05-13</t>
  </si>
  <si>
    <t>Tôi không có nhu cầu sử dụng, hàng dễ đổ lông lần đầu giặt.</t>
  </si>
  <si>
    <t>SPXVN063650148615</t>
  </si>
  <si>
    <t>26052101NJQT8B3</t>
  </si>
  <si>
    <t>260516GAQ08W8Y</t>
  </si>
  <si>
    <t>2026-05-21</t>
  </si>
  <si>
    <t>2026-05-30</t>
  </si>
  <si>
    <t>Gối chống mỏi cổ vai gáy nhưng nằm thấy đau hơn, gối cao so với mình. Nằm đau cổ lắm, không ngủ được. Hàng vẫn nguyên si bọc trả cẩn thận</t>
  </si>
  <si>
    <t>SPXVN066997425835</t>
  </si>
  <si>
    <t>26060304EUXDWUE</t>
  </si>
  <si>
    <t>2606021TX78UFW</t>
  </si>
  <si>
    <t>2026-06-03</t>
  </si>
  <si>
    <t>2026-06-04</t>
  </si>
  <si>
    <t>Sản phẩm nhận được có mùi, để tay sờ thử thì k cảm nhận mát mịn đắp như không đắp, mà có bụi mịn ở trên tay nữa,  bé nhà nhạy cảm nên hoàn lại shop ạ.</t>
  </si>
  <si>
    <t>SPXVN064701423416</t>
  </si>
  <si>
    <t>2606060DBWKFNU0</t>
  </si>
  <si>
    <t>26060472TFDA50</t>
  </si>
  <si>
    <t>2026-06-06</t>
  </si>
  <si>
    <t>2026-06-10</t>
  </si>
  <si>
    <t>SPXVN060143495806</t>
  </si>
  <si>
    <t>2606130VJ87DJR6</t>
  </si>
  <si>
    <t>260606CR2QB0NJ</t>
  </si>
  <si>
    <t>2026-06-12</t>
  </si>
  <si>
    <t>2026-06-16</t>
  </si>
  <si>
    <t>SPXVN060933466386</t>
  </si>
  <si>
    <t>26061301RW87XCF</t>
  </si>
  <si>
    <t>260610N489VE7K</t>
  </si>
  <si>
    <t>2026-06-13</t>
  </si>
  <si>
    <t>2026-06-17</t>
  </si>
  <si>
    <t>SPXVN066168697446</t>
  </si>
  <si>
    <t>2606180E5S60KA9</t>
  </si>
  <si>
    <t>2606168BUSY1NE</t>
  </si>
  <si>
    <t>2026-06-18</t>
  </si>
  <si>
    <t>2026-06-26</t>
  </si>
  <si>
    <t>Đổi size 1m6</t>
  </si>
  <si>
    <t>2606190FEHCS6VY</t>
  </si>
  <si>
    <t>260617AMH1GPU2</t>
  </si>
  <si>
    <t>2026-06-19</t>
  </si>
  <si>
    <t>2026-06-22</t>
  </si>
  <si>
    <t>SPXVN067288047456</t>
  </si>
  <si>
    <t>2606190FGRYGHVB</t>
  </si>
  <si>
    <t>260607DGFJHU0P</t>
  </si>
  <si>
    <t>2026-06-23</t>
  </si>
  <si>
    <t>SPXVN068039198636</t>
  </si>
  <si>
    <t>2606200JY3R4A5F</t>
  </si>
  <si>
    <t>2026-06-20</t>
  </si>
  <si>
    <t>Gửi nhầm kích thước . Nêm bị mềm</t>
  </si>
  <si>
    <t>GYHMPWDB</t>
  </si>
  <si>
    <t>2606230RRN8NYHG</t>
  </si>
  <si>
    <t>260620KF96S3CK</t>
  </si>
  <si>
    <t>2026-06-25</t>
  </si>
  <si>
    <t>2606290CQ6M1QC5</t>
  </si>
  <si>
    <t>26062653XRGT9R</t>
  </si>
  <si>
    <t>2026-06-29</t>
  </si>
  <si>
    <t>2026-07-04</t>
  </si>
  <si>
    <t>SPXVN068199353696</t>
  </si>
  <si>
    <t>2607150QQ6QNRYJ</t>
  </si>
  <si>
    <t>260715PQC60580</t>
  </si>
  <si>
    <t>2026-07-15</t>
  </si>
  <si>
    <t>2026-07-20</t>
  </si>
  <si>
    <t>2607160SXVH6B00</t>
  </si>
  <si>
    <t>260715PYJN0WGY</t>
  </si>
  <si>
    <t>2026-07-16</t>
  </si>
  <si>
    <t>2026-07-21</t>
  </si>
  <si>
    <t>Hàng k mát như mô tả</t>
  </si>
  <si>
    <t>SPXVN069787733757</t>
  </si>
  <si>
    <t>2607160TAHXQRYA</t>
  </si>
  <si>
    <t>Chăn không lạnh như shop mô tả, yêu cầu trả hàng</t>
  </si>
  <si>
    <t>SPXVN068519569587</t>
  </si>
  <si>
    <t>2607170VVYRDAF4</t>
  </si>
  <si>
    <t>260714MAU02QHR</t>
  </si>
  <si>
    <t>2026-07-17</t>
  </si>
  <si>
    <t>2026-07-25</t>
  </si>
  <si>
    <t>Hàng không giấy tờ xuất xứ và bảo hành</t>
  </si>
  <si>
    <t>SPXVN069412779097</t>
  </si>
  <si>
    <t>26072108MV8K4S7</t>
  </si>
  <si>
    <t>260715PR34AGBC</t>
  </si>
  <si>
    <t>2026-07-29</t>
  </si>
  <si>
    <t>SPXVN060586973577</t>
  </si>
  <si>
    <t>2607230EXA4UUC5</t>
  </si>
  <si>
    <t>2607181Q0CU99Q</t>
  </si>
  <si>
    <t>2026-07-23</t>
  </si>
  <si>
    <t>SPXVN067249364727</t>
  </si>
  <si>
    <t>2607260P7M1KBMR</t>
  </si>
  <si>
    <t>260724GW7G7EQ2</t>
  </si>
  <si>
    <t>2026-07-26</t>
  </si>
  <si>
    <t>Nệm quá mềm khác với mo tả</t>
  </si>
  <si>
    <t>2607280T7R0FNYX</t>
  </si>
  <si>
    <t>2026-07-28</t>
  </si>
  <si>
    <t>Nệm quá lún. Khác với mô tả</t>
  </si>
  <si>
    <t>2608080T6G7BG4A</t>
  </si>
  <si>
    <t>260805JHQW5YRB</t>
  </si>
  <si>
    <t>2026-08-08</t>
  </si>
  <si>
    <t>2026-08-11</t>
  </si>
  <si>
    <t>2608080T6J4ECA2</t>
  </si>
  <si>
    <t>260805JHQ599GY</t>
  </si>
  <si>
    <t>26081104HVP2T4M</t>
  </si>
  <si>
    <t>260807NEUMCNE3</t>
  </si>
  <si>
    <t>2026-08-16</t>
  </si>
  <si>
    <t>GY8CT4RW</t>
  </si>
  <si>
    <t>2608280HRPA5PK8</t>
  </si>
  <si>
    <t>260826D5UYEMQ8</t>
  </si>
  <si>
    <t>2026-08-28</t>
  </si>
  <si>
    <t>2026-08-30</t>
  </si>
  <si>
    <t>PROCESSING</t>
  </si>
  <si>
    <t>Khác màu đã đặt</t>
  </si>
  <si>
    <t>SPXVN062861680258</t>
  </si>
  <si>
    <t>TỔNG THÔ (110 YC)</t>
  </si>
  <si>
    <t>CÁCH ĐỌC</t>
  </si>
  <si>
    <t>Toàn bộ dữ liệu lấy từ returns.get_return_list của Shopee Open API v2, khoảng 01/01/2025 đến 02/09/2026. Không suy từ escrow, không lấy từ Excel.</t>
  </si>
  <si>
    <t>TIỀN HOÀN là số tiền của CẢ yêu cầu trả, không phải của từng sản phẩm. Muốn tổng thì SUM ở sheet này, KHÔNG join sang sheet 2 rồi mới SUM.</t>
  </si>
  <si>
    <t>Dòng tô ĐỎ = CANCELLED. Đây là yêu cầu BỊ THAY THẾ bởi yêu cầu mới cùng số tiền, KHÔNG phải hoàn bị huỷ. Cộng vào là cộng thừa 22.648.080 đ. Xem sheet 5.</t>
  </si>
  <si>
    <t>Dòng tô XÁM = CLOSED. Yêu cầu đã đóng. Cần anh xác nhận nghĩa của trạng thái này trước khi quyết trừ hay không.</t>
  </si>
  <si>
    <t>Tổng thô 110 yêu cầu = 92.410.911 đ. Sau khi lọc trùng (mỗi đơn lấy YC mới nhất không phải CANCELLED) = 69.762.831 đ.</t>
  </si>
  <si>
    <t>Trạng thái YC</t>
  </si>
  <si>
    <t>Vị trí</t>
  </si>
  <si>
    <t>SKU phân loại</t>
  </si>
  <si>
    <t>SKU cha</t>
  </si>
  <si>
    <t>Tên sản phẩm</t>
  </si>
  <si>
    <t>Số lượng hoàn</t>
  </si>
  <si>
    <t>Giá SP (đ)</t>
  </si>
  <si>
    <t>SL × Giá (đ)</t>
  </si>
  <si>
    <t>item_id</t>
  </si>
  <si>
    <t>model_id</t>
  </si>
  <si>
    <t>BLA001003</t>
  </si>
  <si>
    <t>BLA001</t>
  </si>
  <si>
    <t>Chăn Lạnh ExtraCool Tuft &amp; Needle, 2mx2m3, Mền Điều Hòa Nhiệt Độ Mát Lạnh Mùa Hè Cooling</t>
  </si>
  <si>
    <t>SET002001</t>
  </si>
  <si>
    <t>SET002</t>
  </si>
  <si>
    <t>Bộ Chăn Ga Gối 4 món Tuft &amp; Needle, Chất Liệu Cotton Linen Cao Cấp Mềm Mại, Êm Ái, Thoán</t>
  </si>
  <si>
    <t>SET001001</t>
  </si>
  <si>
    <t>SET001</t>
  </si>
  <si>
    <t>Bộ Chăn Ga Gối 4 món Tuft &amp; Needle, Chất Liệu Cotton Soybean Cooling Mịn Màng, Êm Mát, K</t>
  </si>
  <si>
    <t>Bộ Chăn Ga Gối 4 món Tuft &amp; Needle, Chất Liệu Cotton Đậu Nành Cooling Kháng Khuẩn, Mịn M</t>
  </si>
  <si>
    <t>PIL001002</t>
  </si>
  <si>
    <t>PIL001</t>
  </si>
  <si>
    <t>Gối Ngủ Tuft &amp; Needle, Gối Memory Foam Kích Thước 40x60cm, Thiết Kế Công Thái Học Nâng Đ</t>
  </si>
  <si>
    <t>BLA001004</t>
  </si>
  <si>
    <t>Chăn Lạnh ExtraCool Tuft &amp; Needle, Size 2mx2m3, Chất Liệu Thun Lạnh Mùa Hè Điều Hòa Nhiệ</t>
  </si>
  <si>
    <t>BLA001002</t>
  </si>
  <si>
    <t>SET002006</t>
  </si>
  <si>
    <t>Bộ Chăn Ga Gối 4 món Tuft &amp; Needle, Chất Liệu Cotton Linen (Lanh) Cao Cấp Mềm Mại, Êm Ái</t>
  </si>
  <si>
    <t>Gối Ngủ Tuft &amp; Needle, Gối Lượn Sóng Từ Memory Foam 5S, Thiết Kế Công Thái Học Nâng Đỡ C</t>
  </si>
  <si>
    <t>PIL001001</t>
  </si>
  <si>
    <t>Gối Ngủ Tuft &amp; Needle, Gối Memory Foam Thiết Kế Công Thái Học Kiểu Dáng Lượn Sóng Nâng Đ</t>
  </si>
  <si>
    <t>BLA001001</t>
  </si>
  <si>
    <t>SET002002</t>
  </si>
  <si>
    <t>MAT001022</t>
  </si>
  <si>
    <t>MAT001</t>
  </si>
  <si>
    <t xml:space="preserve">Nệm Foam Đa Tầng Tuft &amp; Needle, PU Foam Nâng Đỡ Cột Sống Kết Hợp Memory Foam Hạn Chế Tê </t>
  </si>
  <si>
    <t>PIL001004</t>
  </si>
  <si>
    <t>SET004022</t>
  </si>
  <si>
    <t>SET004</t>
  </si>
  <si>
    <t xml:space="preserve">Drap Bảo Vệ Nệm Tuft &amp; Needle, Chất Liệu Bamboo Từ Sợi Tre Cao Cấp Chống Thấm, An Toàn, </t>
  </si>
  <si>
    <t>MAT001014</t>
  </si>
  <si>
    <t>BLA003002</t>
  </si>
  <si>
    <t>SET003</t>
  </si>
  <si>
    <t xml:space="preserve">Bộ Chăn Ga Gối SkyAir Tuft &amp; Needle, Chất Liệu Microfiber Hàn Quốc Thoáng Mát, An Toàn, </t>
  </si>
  <si>
    <t>MAT001006</t>
  </si>
  <si>
    <t>MAT001005</t>
  </si>
  <si>
    <t>SET004005</t>
  </si>
  <si>
    <t>Tấm Bảo Vệ Nệm Tuft &amp; Needle, Chất Liệu Bamboo Từ Sợi Tre Cao Cấp Chống Thấm, An Toàn, K</t>
  </si>
  <si>
    <t>Nệm Foam TUFT &amp; NEEDLE Tiêu Chuẩn CertiPUR-US Với 2 Tầng Foam Nâng Đỡ Ruột Đệm Cao Su No</t>
  </si>
  <si>
    <t>BLA002008</t>
  </si>
  <si>
    <t>BLA002</t>
  </si>
  <si>
    <t>Chăn Tencel 60s Tuft &amp; Needle, Size 2mx2m3, Chần Lụa Tơ Tằm Cao Cấp Mềm Mịn, Thoáng Mát,</t>
  </si>
  <si>
    <t>SET002005</t>
  </si>
  <si>
    <t>Gối Công Thái Học T&amp;N Contour Foam Pillow Cao Su Non Lượn Sóng Nâng Đỡ Đầu - Giảm Đau Va</t>
  </si>
  <si>
    <t>BLA001007</t>
  </si>
  <si>
    <t>BLA001006</t>
  </si>
  <si>
    <t>BLA001009</t>
  </si>
  <si>
    <t>BLA001010</t>
  </si>
  <si>
    <t>MAT002005</t>
  </si>
  <si>
    <t>MAT002</t>
  </si>
  <si>
    <t>Nệm Foam Hybrid Tuft &amp; Needle, Khung Lò Xo Túi Độc Lập Cách Ly Dao Động Kết Hợp Memory F</t>
  </si>
  <si>
    <t>Nệm Foam Tuft &amp; Needle Tiêu Chuẩn CertiPUR-US Với 2 Tầng Foam Nâng Đỡ Ruột Đệm Cao Su No</t>
  </si>
  <si>
    <t>Chăn Lạnh ExtraCool TUFT &amp; NEEDLE, Size 2mx2m3, Chất Liệu Thun Lạnh Mùa Hè Điều Hòa Nhiệ</t>
  </si>
  <si>
    <t>MAT005006</t>
  </si>
  <si>
    <t>MAT005</t>
  </si>
  <si>
    <t>Nệm Hightech POWER X Flow, Kết Cấu Phân Vùng Trọng Lượng Tối Ưu Và Khác Biệt, Nâng Đỡ To</t>
  </si>
  <si>
    <t>MAT005003</t>
  </si>
  <si>
    <t>BLA002004</t>
  </si>
  <si>
    <t>Chăn Tencel 60s TUFT &amp; NEEDLE, Size 2mx2m3, Chần Lụa Tơ Tằm Cao Cấp Mềm Mịn, Thoáng Mát,</t>
  </si>
  <si>
    <t>Gối Công Thái Học TUFT &amp; NEEDLE, Memory Foam Tỷ Trọng Cao, Chống Đau Cổ Vai Gáy, Hạn Chế</t>
  </si>
  <si>
    <t xml:space="preserve">Nệm Foam Đa Tầng TUFT &amp; NEEDLE, PU Foam Nâng Đỡ Cột Sống Kết Hợp Memory Foam Hạn Chế Tê </t>
  </si>
  <si>
    <t>PIL001003</t>
  </si>
  <si>
    <t>BLA002003</t>
  </si>
  <si>
    <t>PIL002001</t>
  </si>
  <si>
    <t>PIL002</t>
  </si>
  <si>
    <t xml:space="preserve">Gối Hightech POWER X Ergo, Gel Memory Foam Cắt Rãnh CNC Cao Cấp Chống Ngáy Ngủ, Nâng Đỡ </t>
  </si>
  <si>
    <t xml:space="preserve">Chăn điều hoà ExtraCool TUFT &amp; NEEDLE, Size 2mx2m3, Chất Liệu Thun Lạnh Mùa Hè Điều Hòa </t>
  </si>
  <si>
    <t>BLA001008</t>
  </si>
  <si>
    <t>PIL003001</t>
  </si>
  <si>
    <t>PIL003</t>
  </si>
  <si>
    <t>GỐI CAO CẤP HIGHTECH POWER X MATRIX – BABY FOAM ÔM SÁT ĐA ĐIỂM, CHỐNG RỐI LOẠN TIỀN ĐÌNH</t>
  </si>
  <si>
    <t>BLA002006</t>
  </si>
  <si>
    <t>Nệm Foam Đa Tầng Tuft &amp; Needle – Ngủ Êm, Nâng Đỡ Cột Sống | 🎁 Tặng chăn điều hoà cao cấp</t>
  </si>
  <si>
    <t>Nệm Memory Foam Đa Tầng, Nâng Đỡ Cột Sống, Ngủ Êm Sâu – TUFT &amp; NEEDLE 🎁 Tặng Chăn Điều H</t>
  </si>
  <si>
    <t>Chăn Lạnh 2mx2m3 ExtraCool TUFT &amp; NEEDLE, Chất Liệu Thun Lạnh Mùa Hè Điều Hòa Nhiệt Độ</t>
  </si>
  <si>
    <t>BLA001005</t>
  </si>
  <si>
    <t>SET003001</t>
  </si>
  <si>
    <t>Bộ Chăn Ga Gối SkyAir TUFT &amp; NEEDLE, Chất Liệu Tencel Microfiber Thoáng Mát, An Toàn, Kh</t>
  </si>
  <si>
    <t>Chăn Lạnh Điều Hòa ExtraCool TUFT &amp; NEEDLE, Mền Thun Lạnh Mùa Hè Cực Mát Cao Cấp 2mx2m3</t>
  </si>
  <si>
    <t>MAT001013</t>
  </si>
  <si>
    <t>BLA003001</t>
  </si>
  <si>
    <t>TỔNG</t>
  </si>
  <si>
    <t>Số lượng hoàn = trường item[].amount trong get_return_list — tài liệu Shopee ghi "Amount of this item".</t>
  </si>
  <si>
    <t>Cột SL × Giá là công thức, dùng để so với TIỀN HOÀN ở sheet 1. Hai số này KHÁC nhau vì tiền hoàn đã trừ giảm giá và voucher.</t>
  </si>
  <si>
    <t>Ví dụ đơn 260807NEUMCNE3: 4 sản phẩm giá niêm yết 3.300.000 đ nhưng Shopee chỉ hoàn 280.560 đ — chênh 12 lần.</t>
  </si>
  <si>
    <t>Tháng tạo YC</t>
  </si>
  <si>
    <t>Số YC</t>
  </si>
  <si>
    <t>Tiền hoàn thô (đ)</t>
  </si>
  <si>
    <t>Tiền hoàn sau lọc (đ)</t>
  </si>
  <si>
    <t>2025-03</t>
  </si>
  <si>
    <t>2025-04</t>
  </si>
  <si>
    <t>2025-05</t>
  </si>
  <si>
    <t>2025-06</t>
  </si>
  <si>
    <t>2025-07</t>
  </si>
  <si>
    <t>2025-08</t>
  </si>
  <si>
    <t>2025-09</t>
  </si>
  <si>
    <t>2025-10</t>
  </si>
  <si>
    <t>2025-11</t>
  </si>
  <si>
    <t>2025-12</t>
  </si>
  <si>
    <t>2026-01</t>
  </si>
  <si>
    <t>2026-02</t>
  </si>
  <si>
    <t>2026-03</t>
  </si>
  <si>
    <t>2026-04</t>
  </si>
  <si>
    <t>2026-05</t>
  </si>
  <si>
    <t>2026-06</t>
  </si>
  <si>
    <t>2026-07</t>
  </si>
  <si>
    <t>2026-08</t>
  </si>
  <si>
    <t>Doanh thu app ghi (đ)</t>
  </si>
  <si>
    <t>Hoàn trả app ghi (đ)</t>
  </si>
  <si>
    <t>Đơn đã huỷ?</t>
  </si>
  <si>
    <t>Trạng thái đơn</t>
  </si>
  <si>
    <t>Hoàn / Doanh thu</t>
  </si>
  <si>
    <t>Hoàn thành</t>
  </si>
  <si>
    <t>Đã hủy</t>
  </si>
  <si>
    <t>Dòng tô XÁM = đơn đã huỷ, app đã ghi doanh thu 0. Không cần trừ gì thêm.</t>
  </si>
  <si>
    <t>Dòng tô ĐỎ = đơn KHÔNG huỷ, trạng thái YC là ACCEPTED hoặc PROCESSING. Đây là nhóm app đang ghi ĐỦ doanh thu mà thực tế đã hoàn tiền.</t>
  </si>
  <si>
    <t>Cột Hoàn trả app ghi = gia_tri_hoan trong v2_fact_sale. Hiện bằng 0 ở TẤT CẢ các dòng — đây chính là lỗi.</t>
  </si>
  <si>
    <t>Cột Hoàn / Doanh thu &gt; 100% nghĩa là tiền hoàn vượt doanh thu app ghi cho đơn đó.</t>
  </si>
  <si>
    <t>Ngày tạo</t>
  </si>
  <si>
    <t>Tiền hoàn (đ)</t>
  </si>
  <si>
    <t>Ghi chú</t>
  </si>
  <si>
    <t>BỊ THAY THẾ — không trừ</t>
  </si>
  <si>
    <t>yêu cầu có hiệu lực</t>
  </si>
  <si>
    <t>VÌ SAO SHEET NÀY QUAN TRỌNG</t>
  </si>
  <si>
    <t>6 đơn có nhiều yêu cầu trả. Trong 5 đơn, một yêu cầu bị CANCELLED rồi lập lại yêu cầu MỚI với CÙNG SỐ TIỀN.</t>
  </si>
  <si>
    <t>Nếu cộng hết 110 yêu cầu thì những lần hoàn này bị đếm HAI LẦN, cộng thừa 22.648.080 đ.</t>
  </si>
  <si>
    <t>Đơn 260724GW7G7EQ2 có CẢ HAI yêu cầu đều CANCELLED — đơn này không có lần hoàn nào có hiệu lực.</t>
  </si>
  <si>
    <t>Quy tắc lọc đúng: mỗi đơn lấy yêu cầu MỚI NHẤT không phải CANCELLED.</t>
  </si>
  <si>
    <t>Phương án</t>
  </si>
  <si>
    <t>Trừ theo tiền hoàn (đ)</t>
  </si>
  <si>
    <t>% doanh thu</t>
  </si>
  <si>
    <t>Trừ theo SL × giá (đ)</t>
  </si>
  <si>
    <t>Nhận xét</t>
  </si>
  <si>
    <t>Chỉ ACCEPTED</t>
  </si>
  <si>
    <t>Chỉ yêu cầu Shopee đã chấp thuận. Thận trọng nhất.</t>
  </si>
  <si>
    <t>ACCEPTED + PROCESSING</t>
  </si>
  <si>
    <t>ĐỀ XUẤT CỦA TÔI. PROCESSING là hàng chưa về nhưng Shopee đã ghi số tiền hoàn.</t>
  </si>
  <si>
    <t>ACCEPTED + PROCESSING + CLOSED</t>
  </si>
  <si>
    <t>Thêm CLOSED. Cần anh xác nhận CLOSED nghĩa là gì trước khi chọn.</t>
  </si>
  <si>
    <t>TẤT CẢ, kể cả CANCELLED</t>
  </si>
  <si>
    <t>SAI. Cộng thừa 22.648.080 đ vì đếm trùng yêu cầu bị thay thế.</t>
  </si>
  <si>
    <t>BA CÂU HỎI CẦN ANH CHỐT</t>
  </si>
  <si>
    <t>A. Trạng thái nào thì trừ? CANCELLED chắc chắn KHÔNG (yêu cầu bị thay thế). CLOSED thì cần anh xác nhận.</t>
  </si>
  <si>
    <t>B. Trừ theo tiền hoàn hay theo số lượng × giá? Doanh thu nên trừ theo TIỀN HOÀN (khớp dòng tiền). Nhưng GIÁ VỐN và TỒN KHO phải trừ theo SỐ LƯỢNG, vì 90 cái hàng đã về kho thật.</t>
  </si>
  <si>
    <t>C. Trừ vào kỳ nào? Kỳ gốc của đơn (đúng kế toán dồn tích, nhưng báo cáo tháng đã chốt sẽ đổi số) hay kỳ phát sinh hoàn (báo cáo cũ không đổi, nhưng biên lợi nhuận kỳ mới bị méo).</t>
  </si>
  <si>
    <t>Doanh thu toàn kỳ app đang ghi: 1,938,734,331 đ. Mọi tỷ lệ % ở trên tính trên số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</si>
</sst>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7" formatCode="_(* #,##0_);_(* \(#,##0\);_(* &quot;-&quot;??_);_(@_)"/>
  </numFmts>
  <fonts count="6" x14ac:knownFonts="1">
    <font>
      <sz val="11"/>
      <color theme="1"/>
      <name val="Calibri"/>
      <family val="2"/>
      <scheme val="minor"/>
    </font>
    <font>
      <b/>
      <sz val="10"/>
      <color rgb="FFFFFFFF"/>
      <name val="Arial"/>
      <family val="2"/>
    </font>
    <font>
      <sz val="10"/>
      <name val="Arial"/>
      <family val="2"/>
    </font>
    <font>
      <b/>
      <sz val="11"/>
      <name val="Arial"/>
      <family val="2"/>
    </font>
    <font>
      <b/>
      <sz val="10"/>
      <name val="Arial"/>
      <family val="2"/>
    </font>
    <font>
      <sz val="11"/>
      <color theme="1"/>
      <name val="Calibri"/>
      <family val="2"/>
      <scheme val="minor"/>
    </font>
  </fonts>
  <fills count="7">
    <fill>
      <patternFill patternType="none"/>
    </fill>
    <fill>
      <patternFill patternType="gray125"/>
    </fill>
    <fill>
      <patternFill patternType="solid">
        <fgColor rgb="FF2A3179"/>
      </patternFill>
    </fill>
    <fill>
      <patternFill patternType="solid">
        <fgColor rgb="FFEDEEF4"/>
      </patternFill>
    </fill>
    <fill>
      <patternFill patternType="solid">
        <fgColor rgb="FFFBE8E7"/>
      </patternFill>
    </fill>
    <fill>
      <patternFill patternType="solid">
        <fgColor rgb="FFFFFFCC"/>
      </patternFill>
    </fill>
    <fill>
      <patternFill patternType="solid">
        <fgColor rgb="FFE3F1E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43" fontId="5" fillId="0" borderId="0" applyFont="0" applyFill="0" applyBorder="0" applyAlignment="0" applyProtection="0"/>
  </cellStyleXfs>
  <cellXfs count="32">
    <xf numFmtId="0" fontId="0" fillId="0" borderId="0" xfId="0"/>
    <xf numFmtId="0" fontId="1" fillId="2" borderId="0" xfId="0" applyFont="1" applyFill="1" applyAlignment="1">
      <alignment vertical="center" wrapText="1"/>
    </xf>
    <xf numFmtId="0" fontId="2" fillId="0" borderId="1" xfId="0" applyFont="1" applyBorder="1" applyAlignment="1">
      <alignment vertical="top"/>
    </xf>
    <xf numFmtId="164" fontId="2" fillId="0" borderId="1" xfId="0" applyNumberFormat="1" applyFont="1" applyBorder="1" applyAlignment="1">
      <alignment vertical="top"/>
    </xf>
    <xf numFmtId="0" fontId="2" fillId="3" borderId="1" xfId="0" applyFont="1" applyFill="1" applyBorder="1" applyAlignment="1">
      <alignment vertical="top"/>
    </xf>
    <xf numFmtId="164" fontId="2" fillId="3" borderId="1" xfId="0" applyNumberFormat="1" applyFont="1" applyFill="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xf>
    <xf numFmtId="164" fontId="2" fillId="4" borderId="1" xfId="0" applyNumberFormat="1" applyFont="1" applyFill="1" applyBorder="1" applyAlignment="1">
      <alignment vertical="top"/>
    </xf>
    <xf numFmtId="0" fontId="2" fillId="4" borderId="1" xfId="0" applyFont="1" applyFill="1" applyBorder="1" applyAlignment="1">
      <alignment vertical="top" wrapText="1"/>
    </xf>
    <xf numFmtId="0" fontId="3" fillId="0" borderId="0" xfId="0" applyFont="1"/>
    <xf numFmtId="164" fontId="3" fillId="0" borderId="1" xfId="0" applyNumberFormat="1" applyFont="1" applyBorder="1"/>
    <xf numFmtId="0" fontId="3" fillId="0" borderId="1" xfId="0" applyFont="1" applyBorder="1"/>
    <xf numFmtId="165" fontId="2" fillId="4" borderId="1" xfId="0" applyNumberFormat="1" applyFont="1" applyFill="1" applyBorder="1" applyAlignment="1">
      <alignment vertical="top"/>
    </xf>
    <xf numFmtId="165" fontId="2" fillId="0" borderId="1" xfId="0" applyNumberFormat="1" applyFont="1" applyBorder="1" applyAlignment="1">
      <alignment vertical="top"/>
    </xf>
    <xf numFmtId="165" fontId="2" fillId="3" borderId="1" xfId="0" applyNumberFormat="1" applyFont="1" applyFill="1" applyBorder="1" applyAlignment="1">
      <alignment vertical="top"/>
    </xf>
    <xf numFmtId="0" fontId="2" fillId="6" borderId="1" xfId="0" applyFont="1" applyFill="1" applyBorder="1" applyAlignment="1">
      <alignment vertical="top"/>
    </xf>
    <xf numFmtId="164" fontId="2" fillId="6" borderId="1" xfId="0" applyNumberFormat="1" applyFont="1" applyFill="1" applyBorder="1" applyAlignment="1">
      <alignment vertical="top"/>
    </xf>
    <xf numFmtId="10" fontId="2" fillId="0" borderId="1" xfId="0" applyNumberFormat="1" applyFont="1" applyBorder="1" applyAlignment="1">
      <alignment vertical="top"/>
    </xf>
    <xf numFmtId="10" fontId="2" fillId="6" borderId="1" xfId="0" applyNumberFormat="1" applyFont="1" applyFill="1" applyBorder="1" applyAlignment="1">
      <alignment vertical="top"/>
    </xf>
    <xf numFmtId="0" fontId="2" fillId="6" borderId="1" xfId="0" applyFont="1" applyFill="1" applyBorder="1" applyAlignment="1">
      <alignment vertical="top" wrapText="1"/>
    </xf>
    <xf numFmtId="10" fontId="2" fillId="4" borderId="1" xfId="0" applyNumberFormat="1" applyFont="1" applyFill="1" applyBorder="1" applyAlignment="1">
      <alignment vertical="top"/>
    </xf>
    <xf numFmtId="0" fontId="4" fillId="0" borderId="0" xfId="0" applyFont="1" applyAlignment="1">
      <alignment vertical="top" wrapText="1"/>
    </xf>
    <xf numFmtId="0" fontId="0" fillId="0" borderId="0" xfId="0"/>
    <xf numFmtId="0" fontId="2" fillId="5" borderId="0" xfId="0" applyFont="1" applyFill="1" applyAlignment="1">
      <alignment vertical="top" wrapText="1"/>
    </xf>
    <xf numFmtId="167" fontId="1" fillId="2" borderId="0" xfId="1" applyNumberFormat="1" applyFont="1" applyFill="1" applyAlignment="1">
      <alignment vertical="center" wrapText="1"/>
    </xf>
    <xf numFmtId="167" fontId="2" fillId="0" borderId="1" xfId="1" applyNumberFormat="1" applyFont="1" applyBorder="1" applyAlignment="1">
      <alignment vertical="top"/>
    </xf>
    <xf numFmtId="167" fontId="2" fillId="3" borderId="1" xfId="1" applyNumberFormat="1" applyFont="1" applyFill="1" applyBorder="1" applyAlignment="1">
      <alignment vertical="top"/>
    </xf>
    <xf numFmtId="167" fontId="2" fillId="4" borderId="1" xfId="1" applyNumberFormat="1" applyFont="1" applyFill="1" applyBorder="1" applyAlignment="1">
      <alignment vertical="top"/>
    </xf>
    <xf numFmtId="167" fontId="3" fillId="0" borderId="1" xfId="1" applyNumberFormat="1" applyFont="1" applyBorder="1"/>
    <xf numFmtId="167" fontId="0" fillId="0" borderId="0" xfId="1" applyNumberFormat="1" applyFon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9"/>
  <sheetViews>
    <sheetView workbookViewId="0">
      <pane ySplit="1" topLeftCell="A90" activePane="bottomLeft" state="frozen"/>
      <selection pane="bottomLeft" activeCell="A116" sqref="A116:N116"/>
    </sheetView>
  </sheetViews>
  <sheetFormatPr baseColWidth="10" defaultColWidth="8.83203125" defaultRowHeight="15" x14ac:dyDescent="0.2"/>
  <cols>
    <col min="1" max="1" width="19" customWidth="1"/>
    <col min="2" max="2" width="17" customWidth="1"/>
    <col min="3" max="4" width="12" customWidth="1"/>
    <col min="5" max="5" width="13" customWidth="1"/>
    <col min="6" max="6" width="23" customWidth="1"/>
    <col min="7" max="7" width="39.6640625" customWidth="1"/>
    <col min="8" max="8" width="15" style="31" customWidth="1"/>
    <col min="9" max="9" width="17" customWidth="1"/>
    <col min="10" max="10" width="8" customWidth="1"/>
    <col min="11" max="11" width="13" customWidth="1"/>
    <col min="12" max="12" width="20" customWidth="1"/>
    <col min="13" max="13" width="10" customWidth="1"/>
    <col min="14" max="14" width="15" customWidth="1"/>
  </cols>
  <sheetData>
    <row r="1" spans="1:14" ht="34" customHeight="1" x14ac:dyDescent="0.2">
      <c r="A1" s="1" t="s">
        <v>0</v>
      </c>
      <c r="B1" s="1" t="s">
        <v>1</v>
      </c>
      <c r="C1" s="1" t="s">
        <v>2</v>
      </c>
      <c r="D1" s="1" t="s">
        <v>3</v>
      </c>
      <c r="E1" s="1" t="s">
        <v>4</v>
      </c>
      <c r="F1" s="1" t="s">
        <v>5</v>
      </c>
      <c r="G1" s="1" t="s">
        <v>6</v>
      </c>
      <c r="H1" s="26" t="s">
        <v>7</v>
      </c>
      <c r="I1" s="1" t="s">
        <v>8</v>
      </c>
      <c r="J1" s="1" t="s">
        <v>9</v>
      </c>
      <c r="K1" s="1" t="s">
        <v>10</v>
      </c>
      <c r="L1" s="1" t="s">
        <v>11</v>
      </c>
      <c r="M1" s="1" t="s">
        <v>12</v>
      </c>
      <c r="N1" s="1" t="s">
        <v>13</v>
      </c>
    </row>
    <row r="2" spans="1:14" x14ac:dyDescent="0.2">
      <c r="A2" s="2" t="s">
        <v>14</v>
      </c>
      <c r="B2" s="2" t="s">
        <v>15</v>
      </c>
      <c r="C2" s="2" t="s">
        <v>16</v>
      </c>
      <c r="D2" s="2" t="s">
        <v>16</v>
      </c>
      <c r="E2" s="2" t="s">
        <v>17</v>
      </c>
      <c r="F2" s="2" t="s">
        <v>18</v>
      </c>
      <c r="G2" s="2"/>
      <c r="H2" s="27">
        <v>326700</v>
      </c>
      <c r="I2" s="3">
        <v>363000</v>
      </c>
      <c r="J2" s="2" t="s">
        <v>19</v>
      </c>
      <c r="K2" s="2" t="s">
        <v>20</v>
      </c>
      <c r="L2" s="2" t="s">
        <v>21</v>
      </c>
      <c r="M2" s="2">
        <v>1</v>
      </c>
      <c r="N2" s="2"/>
    </row>
    <row r="3" spans="1:14" x14ac:dyDescent="0.2">
      <c r="A3" s="2" t="s">
        <v>22</v>
      </c>
      <c r="B3" s="2" t="s">
        <v>23</v>
      </c>
      <c r="C3" s="2" t="s">
        <v>24</v>
      </c>
      <c r="D3" s="2" t="s">
        <v>25</v>
      </c>
      <c r="E3" s="2" t="s">
        <v>17</v>
      </c>
      <c r="F3" s="2" t="s">
        <v>26</v>
      </c>
      <c r="G3" s="2"/>
      <c r="H3" s="27">
        <v>522652</v>
      </c>
      <c r="I3" s="3">
        <v>598000</v>
      </c>
      <c r="J3" s="2" t="s">
        <v>19</v>
      </c>
      <c r="K3" s="2" t="s">
        <v>27</v>
      </c>
      <c r="L3" s="2"/>
      <c r="M3" s="2">
        <v>2</v>
      </c>
      <c r="N3" s="2"/>
    </row>
    <row r="4" spans="1:14" x14ac:dyDescent="0.2">
      <c r="A4" s="2" t="s">
        <v>28</v>
      </c>
      <c r="B4" s="2" t="s">
        <v>29</v>
      </c>
      <c r="C4" s="2" t="s">
        <v>30</v>
      </c>
      <c r="D4" s="2" t="s">
        <v>31</v>
      </c>
      <c r="E4" s="2" t="s">
        <v>17</v>
      </c>
      <c r="F4" s="2" t="s">
        <v>18</v>
      </c>
      <c r="G4" s="2"/>
      <c r="H4" s="27">
        <v>378000</v>
      </c>
      <c r="I4" s="3">
        <v>760000</v>
      </c>
      <c r="J4" s="2" t="s">
        <v>19</v>
      </c>
      <c r="K4" s="2" t="s">
        <v>20</v>
      </c>
      <c r="L4" s="2" t="s">
        <v>32</v>
      </c>
      <c r="M4" s="2">
        <v>1</v>
      </c>
      <c r="N4" s="2"/>
    </row>
    <row r="5" spans="1:14" x14ac:dyDescent="0.2">
      <c r="A5" s="4" t="s">
        <v>33</v>
      </c>
      <c r="B5" s="4" t="s">
        <v>34</v>
      </c>
      <c r="C5" s="4" t="s">
        <v>35</v>
      </c>
      <c r="D5" s="4" t="s">
        <v>36</v>
      </c>
      <c r="E5" s="4" t="s">
        <v>37</v>
      </c>
      <c r="F5" s="4" t="s">
        <v>18</v>
      </c>
      <c r="G5" s="4" t="s">
        <v>38</v>
      </c>
      <c r="H5" s="28">
        <v>216660</v>
      </c>
      <c r="I5" s="5">
        <v>269000</v>
      </c>
      <c r="J5" s="4" t="s">
        <v>19</v>
      </c>
      <c r="K5" s="4" t="s">
        <v>20</v>
      </c>
      <c r="L5" s="4" t="s">
        <v>39</v>
      </c>
      <c r="M5" s="4">
        <v>1</v>
      </c>
      <c r="N5" s="4"/>
    </row>
    <row r="6" spans="1:14" x14ac:dyDescent="0.2">
      <c r="A6" s="2" t="s">
        <v>40</v>
      </c>
      <c r="B6" s="2" t="s">
        <v>41</v>
      </c>
      <c r="C6" s="2" t="s">
        <v>42</v>
      </c>
      <c r="D6" s="2" t="s">
        <v>43</v>
      </c>
      <c r="E6" s="2" t="s">
        <v>17</v>
      </c>
      <c r="F6" s="2" t="s">
        <v>44</v>
      </c>
      <c r="G6" s="2"/>
      <c r="H6" s="27">
        <v>0</v>
      </c>
      <c r="I6" s="3"/>
      <c r="J6" s="2" t="s">
        <v>19</v>
      </c>
      <c r="K6" s="2" t="s">
        <v>27</v>
      </c>
      <c r="L6" s="2"/>
      <c r="M6" s="2">
        <v>1</v>
      </c>
      <c r="N6" s="2"/>
    </row>
    <row r="7" spans="1:14" x14ac:dyDescent="0.2">
      <c r="A7" s="2" t="s">
        <v>45</v>
      </c>
      <c r="B7" s="2" t="s">
        <v>46</v>
      </c>
      <c r="C7" s="2" t="s">
        <v>47</v>
      </c>
      <c r="D7" s="2" t="s">
        <v>48</v>
      </c>
      <c r="E7" s="2" t="s">
        <v>17</v>
      </c>
      <c r="F7" s="2" t="s">
        <v>18</v>
      </c>
      <c r="G7" s="2"/>
      <c r="H7" s="27">
        <v>406980</v>
      </c>
      <c r="I7" s="3">
        <v>478800</v>
      </c>
      <c r="J7" s="2" t="s">
        <v>19</v>
      </c>
      <c r="K7" s="2" t="s">
        <v>20</v>
      </c>
      <c r="L7" s="2" t="s">
        <v>49</v>
      </c>
      <c r="M7" s="2">
        <v>1</v>
      </c>
      <c r="N7" s="2"/>
    </row>
    <row r="8" spans="1:14" x14ac:dyDescent="0.2">
      <c r="A8" s="2" t="s">
        <v>50</v>
      </c>
      <c r="B8" s="2" t="s">
        <v>51</v>
      </c>
      <c r="C8" s="2" t="s">
        <v>52</v>
      </c>
      <c r="D8" s="2" t="s">
        <v>48</v>
      </c>
      <c r="E8" s="2" t="s">
        <v>17</v>
      </c>
      <c r="F8" s="2" t="s">
        <v>26</v>
      </c>
      <c r="G8" s="2"/>
      <c r="H8" s="27">
        <v>316000</v>
      </c>
      <c r="I8" s="3">
        <v>360000</v>
      </c>
      <c r="J8" s="2" t="s">
        <v>19</v>
      </c>
      <c r="K8" s="2" t="s">
        <v>27</v>
      </c>
      <c r="L8" s="2"/>
      <c r="M8" s="2">
        <v>1</v>
      </c>
      <c r="N8" s="2"/>
    </row>
    <row r="9" spans="1:14" ht="70" x14ac:dyDescent="0.2">
      <c r="A9" s="2" t="s">
        <v>53</v>
      </c>
      <c r="B9" s="2" t="s">
        <v>54</v>
      </c>
      <c r="C9" s="2" t="s">
        <v>48</v>
      </c>
      <c r="D9" s="2" t="s">
        <v>48</v>
      </c>
      <c r="E9" s="2" t="s">
        <v>17</v>
      </c>
      <c r="F9" s="2" t="s">
        <v>55</v>
      </c>
      <c r="G9" s="6" t="s">
        <v>56</v>
      </c>
      <c r="H9" s="27">
        <v>354660</v>
      </c>
      <c r="I9" s="3">
        <v>419000</v>
      </c>
      <c r="J9" s="2" t="s">
        <v>19</v>
      </c>
      <c r="K9" s="2" t="s">
        <v>20</v>
      </c>
      <c r="L9" s="2" t="s">
        <v>57</v>
      </c>
      <c r="M9" s="2">
        <v>1</v>
      </c>
      <c r="N9" s="2"/>
    </row>
    <row r="10" spans="1:14" x14ac:dyDescent="0.2">
      <c r="A10" s="2" t="s">
        <v>58</v>
      </c>
      <c r="B10" s="2" t="s">
        <v>59</v>
      </c>
      <c r="C10" s="2" t="s">
        <v>60</v>
      </c>
      <c r="D10" s="2" t="s">
        <v>61</v>
      </c>
      <c r="E10" s="2" t="s">
        <v>17</v>
      </c>
      <c r="F10" s="2" t="s">
        <v>62</v>
      </c>
      <c r="G10" s="2" t="s">
        <v>63</v>
      </c>
      <c r="H10" s="27">
        <v>369600</v>
      </c>
      <c r="I10" s="3">
        <v>420000</v>
      </c>
      <c r="J10" s="2" t="s">
        <v>19</v>
      </c>
      <c r="K10" s="2" t="s">
        <v>20</v>
      </c>
      <c r="L10" s="2" t="s">
        <v>64</v>
      </c>
      <c r="M10" s="2">
        <v>1</v>
      </c>
      <c r="N10" s="2"/>
    </row>
    <row r="11" spans="1:14" x14ac:dyDescent="0.2">
      <c r="A11" s="2" t="s">
        <v>65</v>
      </c>
      <c r="B11" s="2" t="s">
        <v>66</v>
      </c>
      <c r="C11" s="2" t="s">
        <v>67</v>
      </c>
      <c r="D11" s="2" t="s">
        <v>68</v>
      </c>
      <c r="E11" s="2" t="s">
        <v>17</v>
      </c>
      <c r="F11" s="2" t="s">
        <v>69</v>
      </c>
      <c r="G11" s="2"/>
      <c r="H11" s="27">
        <v>0</v>
      </c>
      <c r="I11" s="3"/>
      <c r="J11" s="2" t="s">
        <v>19</v>
      </c>
      <c r="K11" s="2" t="s">
        <v>27</v>
      </c>
      <c r="L11" s="2"/>
      <c r="M11" s="2">
        <v>1</v>
      </c>
      <c r="N11" s="2"/>
    </row>
    <row r="12" spans="1:14" x14ac:dyDescent="0.2">
      <c r="A12" s="4" t="s">
        <v>70</v>
      </c>
      <c r="B12" s="4" t="s">
        <v>71</v>
      </c>
      <c r="C12" s="4" t="s">
        <v>72</v>
      </c>
      <c r="D12" s="4" t="s">
        <v>73</v>
      </c>
      <c r="E12" s="4" t="s">
        <v>37</v>
      </c>
      <c r="F12" s="4" t="s">
        <v>55</v>
      </c>
      <c r="G12" s="4" t="s">
        <v>74</v>
      </c>
      <c r="H12" s="28">
        <v>325204</v>
      </c>
      <c r="I12" s="5">
        <v>389000</v>
      </c>
      <c r="J12" s="4" t="s">
        <v>19</v>
      </c>
      <c r="K12" s="4" t="s">
        <v>20</v>
      </c>
      <c r="L12" s="4" t="s">
        <v>75</v>
      </c>
      <c r="M12" s="4">
        <v>1</v>
      </c>
      <c r="N12" s="4"/>
    </row>
    <row r="13" spans="1:14" x14ac:dyDescent="0.2">
      <c r="A13" s="2" t="s">
        <v>76</v>
      </c>
      <c r="B13" s="2" t="s">
        <v>77</v>
      </c>
      <c r="C13" s="2" t="s">
        <v>78</v>
      </c>
      <c r="D13" s="2" t="s">
        <v>79</v>
      </c>
      <c r="E13" s="2" t="s">
        <v>17</v>
      </c>
      <c r="F13" s="2" t="s">
        <v>18</v>
      </c>
      <c r="G13" s="2" t="s">
        <v>80</v>
      </c>
      <c r="H13" s="27">
        <v>382755</v>
      </c>
      <c r="I13" s="3">
        <v>466300</v>
      </c>
      <c r="J13" s="2" t="s">
        <v>19</v>
      </c>
      <c r="K13" s="2" t="s">
        <v>20</v>
      </c>
      <c r="L13" s="2" t="s">
        <v>81</v>
      </c>
      <c r="M13" s="2">
        <v>1</v>
      </c>
      <c r="N13" s="2"/>
    </row>
    <row r="14" spans="1:14" x14ac:dyDescent="0.2">
      <c r="A14" s="2" t="s">
        <v>82</v>
      </c>
      <c r="B14" s="2" t="s">
        <v>83</v>
      </c>
      <c r="C14" s="2" t="s">
        <v>73</v>
      </c>
      <c r="D14" s="2" t="s">
        <v>68</v>
      </c>
      <c r="E14" s="2" t="s">
        <v>17</v>
      </c>
      <c r="F14" s="2" t="s">
        <v>84</v>
      </c>
      <c r="G14" s="2"/>
      <c r="H14" s="27">
        <v>521220</v>
      </c>
      <c r="I14" s="3">
        <v>613200</v>
      </c>
      <c r="J14" s="2" t="s">
        <v>19</v>
      </c>
      <c r="K14" s="2" t="s">
        <v>20</v>
      </c>
      <c r="L14" s="2" t="s">
        <v>85</v>
      </c>
      <c r="M14" s="2">
        <v>2</v>
      </c>
      <c r="N14" s="2"/>
    </row>
    <row r="15" spans="1:14" x14ac:dyDescent="0.2">
      <c r="A15" s="2" t="s">
        <v>86</v>
      </c>
      <c r="B15" s="2" t="s">
        <v>87</v>
      </c>
      <c r="C15" s="2" t="s">
        <v>88</v>
      </c>
      <c r="D15" s="2" t="s">
        <v>89</v>
      </c>
      <c r="E15" s="2" t="s">
        <v>17</v>
      </c>
      <c r="F15" s="2" t="s">
        <v>55</v>
      </c>
      <c r="G15" s="2" t="s">
        <v>90</v>
      </c>
      <c r="H15" s="27">
        <v>389000</v>
      </c>
      <c r="I15" s="3">
        <v>389000</v>
      </c>
      <c r="J15" s="2" t="s">
        <v>19</v>
      </c>
      <c r="K15" s="2" t="s">
        <v>20</v>
      </c>
      <c r="L15" s="2" t="s">
        <v>91</v>
      </c>
      <c r="M15" s="2">
        <v>1</v>
      </c>
      <c r="N15" s="2"/>
    </row>
    <row r="16" spans="1:14" ht="56" x14ac:dyDescent="0.2">
      <c r="A16" s="4" t="s">
        <v>92</v>
      </c>
      <c r="B16" s="4" t="s">
        <v>93</v>
      </c>
      <c r="C16" s="4" t="s">
        <v>89</v>
      </c>
      <c r="D16" s="4" t="s">
        <v>94</v>
      </c>
      <c r="E16" s="4" t="s">
        <v>37</v>
      </c>
      <c r="F16" s="4" t="s">
        <v>18</v>
      </c>
      <c r="G16" s="7" t="s">
        <v>95</v>
      </c>
      <c r="H16" s="28">
        <v>392700</v>
      </c>
      <c r="I16" s="5">
        <v>462000</v>
      </c>
      <c r="J16" s="4" t="s">
        <v>19</v>
      </c>
      <c r="K16" s="4" t="s">
        <v>20</v>
      </c>
      <c r="L16" s="4" t="s">
        <v>96</v>
      </c>
      <c r="M16" s="4">
        <v>1</v>
      </c>
      <c r="N16" s="4"/>
    </row>
    <row r="17" spans="1:14" x14ac:dyDescent="0.2">
      <c r="A17" s="2" t="s">
        <v>97</v>
      </c>
      <c r="B17" s="2" t="s">
        <v>98</v>
      </c>
      <c r="C17" s="2" t="s">
        <v>99</v>
      </c>
      <c r="D17" s="2" t="s">
        <v>100</v>
      </c>
      <c r="E17" s="2" t="s">
        <v>17</v>
      </c>
      <c r="F17" s="2" t="s">
        <v>18</v>
      </c>
      <c r="G17" s="2" t="s">
        <v>101</v>
      </c>
      <c r="H17" s="27">
        <v>244800</v>
      </c>
      <c r="I17" s="3">
        <v>288000</v>
      </c>
      <c r="J17" s="2" t="s">
        <v>19</v>
      </c>
      <c r="K17" s="2" t="s">
        <v>20</v>
      </c>
      <c r="L17" s="2" t="s">
        <v>102</v>
      </c>
      <c r="M17" s="2">
        <v>1</v>
      </c>
      <c r="N17" s="2"/>
    </row>
    <row r="18" spans="1:14" x14ac:dyDescent="0.2">
      <c r="A18" s="2" t="s">
        <v>103</v>
      </c>
      <c r="B18" s="2" t="s">
        <v>104</v>
      </c>
      <c r="C18" s="2" t="s">
        <v>105</v>
      </c>
      <c r="D18" s="2" t="s">
        <v>106</v>
      </c>
      <c r="E18" s="2" t="s">
        <v>17</v>
      </c>
      <c r="F18" s="2" t="s">
        <v>18</v>
      </c>
      <c r="G18" s="2"/>
      <c r="H18" s="27">
        <v>402192</v>
      </c>
      <c r="I18" s="3">
        <v>478800</v>
      </c>
      <c r="J18" s="2" t="s">
        <v>19</v>
      </c>
      <c r="K18" s="2" t="s">
        <v>20</v>
      </c>
      <c r="L18" s="2" t="s">
        <v>107</v>
      </c>
      <c r="M18" s="2">
        <v>1</v>
      </c>
      <c r="N18" s="2"/>
    </row>
    <row r="19" spans="1:14" x14ac:dyDescent="0.2">
      <c r="A19" s="2" t="s">
        <v>108</v>
      </c>
      <c r="B19" s="2" t="s">
        <v>109</v>
      </c>
      <c r="C19" s="2" t="s">
        <v>110</v>
      </c>
      <c r="D19" s="2" t="s">
        <v>111</v>
      </c>
      <c r="E19" s="2" t="s">
        <v>17</v>
      </c>
      <c r="F19" s="2" t="s">
        <v>44</v>
      </c>
      <c r="G19" s="2"/>
      <c r="H19" s="27">
        <v>0</v>
      </c>
      <c r="I19" s="3"/>
      <c r="J19" s="2" t="s">
        <v>19</v>
      </c>
      <c r="K19" s="2" t="s">
        <v>27</v>
      </c>
      <c r="L19" s="2"/>
      <c r="M19" s="2">
        <v>1</v>
      </c>
      <c r="N19" s="2"/>
    </row>
    <row r="20" spans="1:14" x14ac:dyDescent="0.2">
      <c r="A20" s="8" t="s">
        <v>112</v>
      </c>
      <c r="B20" s="8" t="s">
        <v>113</v>
      </c>
      <c r="C20" s="8" t="s">
        <v>114</v>
      </c>
      <c r="D20" s="8" t="s">
        <v>115</v>
      </c>
      <c r="E20" s="8" t="s">
        <v>116</v>
      </c>
      <c r="F20" s="8" t="s">
        <v>26</v>
      </c>
      <c r="G20" s="8"/>
      <c r="H20" s="29">
        <v>0</v>
      </c>
      <c r="I20" s="9"/>
      <c r="J20" s="8" t="s">
        <v>19</v>
      </c>
      <c r="K20" s="8" t="s">
        <v>27</v>
      </c>
      <c r="L20" s="8"/>
      <c r="M20" s="8">
        <v>1</v>
      </c>
      <c r="N20" s="8"/>
    </row>
    <row r="21" spans="1:14" ht="98" x14ac:dyDescent="0.2">
      <c r="A21" s="8" t="s">
        <v>117</v>
      </c>
      <c r="B21" s="8" t="s">
        <v>118</v>
      </c>
      <c r="C21" s="8" t="s">
        <v>119</v>
      </c>
      <c r="D21" s="8" t="s">
        <v>115</v>
      </c>
      <c r="E21" s="8" t="s">
        <v>116</v>
      </c>
      <c r="F21" s="8" t="s">
        <v>120</v>
      </c>
      <c r="G21" s="10" t="s">
        <v>121</v>
      </c>
      <c r="H21" s="29">
        <v>382755</v>
      </c>
      <c r="I21" s="9">
        <v>450300</v>
      </c>
      <c r="J21" s="8" t="s">
        <v>19</v>
      </c>
      <c r="K21" s="8" t="s">
        <v>20</v>
      </c>
      <c r="L21" s="8" t="s">
        <v>122</v>
      </c>
      <c r="M21" s="8">
        <v>1</v>
      </c>
      <c r="N21" s="8"/>
    </row>
    <row r="22" spans="1:14" x14ac:dyDescent="0.2">
      <c r="A22" s="2" t="s">
        <v>123</v>
      </c>
      <c r="B22" s="2" t="s">
        <v>124</v>
      </c>
      <c r="C22" s="2" t="s">
        <v>125</v>
      </c>
      <c r="D22" s="2" t="s">
        <v>126</v>
      </c>
      <c r="E22" s="2" t="s">
        <v>17</v>
      </c>
      <c r="F22" s="2" t="s">
        <v>18</v>
      </c>
      <c r="G22" s="2" t="s">
        <v>127</v>
      </c>
      <c r="H22" s="27">
        <v>3727500</v>
      </c>
      <c r="I22" s="3">
        <v>4125000</v>
      </c>
      <c r="J22" s="2" t="s">
        <v>19</v>
      </c>
      <c r="K22" s="2" t="s">
        <v>20</v>
      </c>
      <c r="L22" s="2" t="s">
        <v>128</v>
      </c>
      <c r="M22" s="2">
        <v>1</v>
      </c>
      <c r="N22" s="2"/>
    </row>
    <row r="23" spans="1:14" x14ac:dyDescent="0.2">
      <c r="A23" s="4" t="s">
        <v>129</v>
      </c>
      <c r="B23" s="4" t="s">
        <v>130</v>
      </c>
      <c r="C23" s="4" t="s">
        <v>131</v>
      </c>
      <c r="D23" s="4" t="s">
        <v>132</v>
      </c>
      <c r="E23" s="4" t="s">
        <v>37</v>
      </c>
      <c r="F23" s="4" t="s">
        <v>18</v>
      </c>
      <c r="G23" s="4"/>
      <c r="H23" s="28">
        <v>300612</v>
      </c>
      <c r="I23" s="5">
        <v>366600</v>
      </c>
      <c r="J23" s="4" t="s">
        <v>19</v>
      </c>
      <c r="K23" s="4" t="s">
        <v>20</v>
      </c>
      <c r="L23" s="4" t="s">
        <v>133</v>
      </c>
      <c r="M23" s="4">
        <v>1</v>
      </c>
      <c r="N23" s="4"/>
    </row>
    <row r="24" spans="1:14" x14ac:dyDescent="0.2">
      <c r="A24" s="8" t="s">
        <v>134</v>
      </c>
      <c r="B24" s="8" t="s">
        <v>135</v>
      </c>
      <c r="C24" s="8" t="s">
        <v>131</v>
      </c>
      <c r="D24" s="8" t="s">
        <v>136</v>
      </c>
      <c r="E24" s="8" t="s">
        <v>116</v>
      </c>
      <c r="F24" s="8" t="s">
        <v>137</v>
      </c>
      <c r="G24" s="8"/>
      <c r="H24" s="29">
        <v>308600</v>
      </c>
      <c r="I24" s="9">
        <v>348600</v>
      </c>
      <c r="J24" s="8" t="s">
        <v>19</v>
      </c>
      <c r="K24" s="8" t="s">
        <v>27</v>
      </c>
      <c r="L24" s="8"/>
      <c r="M24" s="8">
        <v>1</v>
      </c>
      <c r="N24" s="8"/>
    </row>
    <row r="25" spans="1:14" x14ac:dyDescent="0.2">
      <c r="A25" s="2" t="s">
        <v>138</v>
      </c>
      <c r="B25" s="2" t="s">
        <v>139</v>
      </c>
      <c r="C25" s="2" t="s">
        <v>140</v>
      </c>
      <c r="D25" s="2" t="s">
        <v>141</v>
      </c>
      <c r="E25" s="2" t="s">
        <v>17</v>
      </c>
      <c r="F25" s="2" t="s">
        <v>26</v>
      </c>
      <c r="G25" s="2"/>
      <c r="H25" s="27">
        <v>0</v>
      </c>
      <c r="I25" s="3"/>
      <c r="J25" s="2" t="s">
        <v>19</v>
      </c>
      <c r="K25" s="2" t="s">
        <v>27</v>
      </c>
      <c r="L25" s="2"/>
      <c r="M25" s="2">
        <v>1</v>
      </c>
      <c r="N25" s="2"/>
    </row>
    <row r="26" spans="1:14" ht="98" x14ac:dyDescent="0.2">
      <c r="A26" s="2" t="s">
        <v>142</v>
      </c>
      <c r="B26" s="2" t="s">
        <v>143</v>
      </c>
      <c r="C26" s="2" t="s">
        <v>144</v>
      </c>
      <c r="D26" s="2" t="s">
        <v>145</v>
      </c>
      <c r="E26" s="2" t="s">
        <v>17</v>
      </c>
      <c r="F26" s="2" t="s">
        <v>18</v>
      </c>
      <c r="G26" s="6" t="s">
        <v>146</v>
      </c>
      <c r="H26" s="27">
        <v>2039840</v>
      </c>
      <c r="I26" s="3">
        <v>2469000</v>
      </c>
      <c r="J26" s="2" t="s">
        <v>19</v>
      </c>
      <c r="K26" s="2" t="s">
        <v>20</v>
      </c>
      <c r="L26" s="2" t="s">
        <v>147</v>
      </c>
      <c r="M26" s="2">
        <v>2</v>
      </c>
      <c r="N26" s="2"/>
    </row>
    <row r="27" spans="1:14" x14ac:dyDescent="0.2">
      <c r="A27" s="2" t="s">
        <v>148</v>
      </c>
      <c r="B27" s="2" t="s">
        <v>149</v>
      </c>
      <c r="C27" s="2" t="s">
        <v>144</v>
      </c>
      <c r="D27" s="2" t="s">
        <v>150</v>
      </c>
      <c r="E27" s="2" t="s">
        <v>17</v>
      </c>
      <c r="F27" s="2" t="s">
        <v>18</v>
      </c>
      <c r="G27" s="2"/>
      <c r="H27" s="27">
        <v>396264</v>
      </c>
      <c r="I27" s="3">
        <v>466300</v>
      </c>
      <c r="J27" s="2" t="s">
        <v>19</v>
      </c>
      <c r="K27" s="2" t="s">
        <v>20</v>
      </c>
      <c r="L27" s="2" t="s">
        <v>151</v>
      </c>
      <c r="M27" s="2">
        <v>1</v>
      </c>
      <c r="N27" s="2"/>
    </row>
    <row r="28" spans="1:14" ht="70" x14ac:dyDescent="0.2">
      <c r="A28" s="4" t="s">
        <v>152</v>
      </c>
      <c r="B28" s="4" t="s">
        <v>153</v>
      </c>
      <c r="C28" s="4" t="s">
        <v>154</v>
      </c>
      <c r="D28" s="4" t="s">
        <v>155</v>
      </c>
      <c r="E28" s="4" t="s">
        <v>37</v>
      </c>
      <c r="F28" s="4" t="s">
        <v>55</v>
      </c>
      <c r="G28" s="7" t="s">
        <v>156</v>
      </c>
      <c r="H28" s="28">
        <v>1700000</v>
      </c>
      <c r="I28" s="5">
        <v>2000000</v>
      </c>
      <c r="J28" s="4" t="s">
        <v>19</v>
      </c>
      <c r="K28" s="4" t="s">
        <v>20</v>
      </c>
      <c r="L28" s="4" t="s">
        <v>157</v>
      </c>
      <c r="M28" s="4">
        <v>2</v>
      </c>
      <c r="N28" s="4"/>
    </row>
    <row r="29" spans="1:14" x14ac:dyDescent="0.2">
      <c r="A29" s="2" t="s">
        <v>158</v>
      </c>
      <c r="B29" s="2" t="s">
        <v>159</v>
      </c>
      <c r="C29" s="2" t="s">
        <v>160</v>
      </c>
      <c r="D29" s="2" t="s">
        <v>161</v>
      </c>
      <c r="E29" s="2" t="s">
        <v>17</v>
      </c>
      <c r="F29" s="2" t="s">
        <v>55</v>
      </c>
      <c r="G29" s="2" t="s">
        <v>162</v>
      </c>
      <c r="H29" s="27">
        <v>448533</v>
      </c>
      <c r="I29" s="3">
        <v>2896500</v>
      </c>
      <c r="J29" s="2" t="s">
        <v>19</v>
      </c>
      <c r="K29" s="2" t="s">
        <v>20</v>
      </c>
      <c r="L29" s="2" t="s">
        <v>163</v>
      </c>
      <c r="M29" s="2">
        <v>1</v>
      </c>
      <c r="N29" s="2"/>
    </row>
    <row r="30" spans="1:14" x14ac:dyDescent="0.2">
      <c r="A30" s="4" t="s">
        <v>164</v>
      </c>
      <c r="B30" s="4" t="s">
        <v>165</v>
      </c>
      <c r="C30" s="4" t="s">
        <v>166</v>
      </c>
      <c r="D30" s="4" t="s">
        <v>167</v>
      </c>
      <c r="E30" s="4" t="s">
        <v>37</v>
      </c>
      <c r="F30" s="4" t="s">
        <v>18</v>
      </c>
      <c r="G30" s="4"/>
      <c r="H30" s="28">
        <v>1470600</v>
      </c>
      <c r="I30" s="5">
        <v>1800000</v>
      </c>
      <c r="J30" s="4" t="s">
        <v>19</v>
      </c>
      <c r="K30" s="4" t="s">
        <v>20</v>
      </c>
      <c r="L30" s="4" t="s">
        <v>168</v>
      </c>
      <c r="M30" s="4">
        <v>1</v>
      </c>
      <c r="N30" s="4"/>
    </row>
    <row r="31" spans="1:14" x14ac:dyDescent="0.2">
      <c r="A31" s="8" t="s">
        <v>169</v>
      </c>
      <c r="B31" s="8" t="s">
        <v>170</v>
      </c>
      <c r="C31" s="8" t="s">
        <v>166</v>
      </c>
      <c r="D31" s="8" t="s">
        <v>171</v>
      </c>
      <c r="E31" s="8" t="s">
        <v>116</v>
      </c>
      <c r="F31" s="8" t="s">
        <v>18</v>
      </c>
      <c r="G31" s="8"/>
      <c r="H31" s="29">
        <v>348840</v>
      </c>
      <c r="I31" s="9">
        <v>410400</v>
      </c>
      <c r="J31" s="8" t="s">
        <v>19</v>
      </c>
      <c r="K31" s="8" t="s">
        <v>20</v>
      </c>
      <c r="L31" s="8" t="s">
        <v>172</v>
      </c>
      <c r="M31" s="8">
        <v>1</v>
      </c>
      <c r="N31" s="8"/>
    </row>
    <row r="32" spans="1:14" x14ac:dyDescent="0.2">
      <c r="A32" s="4" t="s">
        <v>173</v>
      </c>
      <c r="B32" s="4" t="s">
        <v>174</v>
      </c>
      <c r="C32" s="4" t="s">
        <v>166</v>
      </c>
      <c r="D32" s="4" t="s">
        <v>175</v>
      </c>
      <c r="E32" s="4" t="s">
        <v>37</v>
      </c>
      <c r="F32" s="4" t="s">
        <v>55</v>
      </c>
      <c r="G32" s="4" t="s">
        <v>176</v>
      </c>
      <c r="H32" s="28">
        <v>1710000</v>
      </c>
      <c r="I32" s="5">
        <v>1800000</v>
      </c>
      <c r="J32" s="4" t="s">
        <v>19</v>
      </c>
      <c r="K32" s="4" t="s">
        <v>20</v>
      </c>
      <c r="L32" s="4" t="s">
        <v>177</v>
      </c>
      <c r="M32" s="4">
        <v>1</v>
      </c>
      <c r="N32" s="4"/>
    </row>
    <row r="33" spans="1:14" x14ac:dyDescent="0.2">
      <c r="A33" s="2" t="s">
        <v>178</v>
      </c>
      <c r="B33" s="2" t="s">
        <v>179</v>
      </c>
      <c r="C33" s="2" t="s">
        <v>180</v>
      </c>
      <c r="D33" s="2" t="s">
        <v>181</v>
      </c>
      <c r="E33" s="2" t="s">
        <v>17</v>
      </c>
      <c r="F33" s="2" t="s">
        <v>55</v>
      </c>
      <c r="G33" s="2"/>
      <c r="H33" s="27">
        <v>698083</v>
      </c>
      <c r="I33" s="3">
        <v>864500</v>
      </c>
      <c r="J33" s="2" t="s">
        <v>19</v>
      </c>
      <c r="K33" s="2" t="s">
        <v>20</v>
      </c>
      <c r="L33" s="2" t="s">
        <v>182</v>
      </c>
      <c r="M33" s="2">
        <v>1</v>
      </c>
      <c r="N33" s="2"/>
    </row>
    <row r="34" spans="1:14" x14ac:dyDescent="0.2">
      <c r="A34" s="2" t="s">
        <v>183</v>
      </c>
      <c r="B34" s="2" t="s">
        <v>184</v>
      </c>
      <c r="C34" s="2" t="s">
        <v>171</v>
      </c>
      <c r="D34" s="2" t="s">
        <v>181</v>
      </c>
      <c r="E34" s="2" t="s">
        <v>17</v>
      </c>
      <c r="F34" s="2" t="s">
        <v>55</v>
      </c>
      <c r="G34" s="2" t="s">
        <v>185</v>
      </c>
      <c r="H34" s="27">
        <v>356400</v>
      </c>
      <c r="I34" s="3">
        <v>396000</v>
      </c>
      <c r="J34" s="2" t="s">
        <v>19</v>
      </c>
      <c r="K34" s="2" t="s">
        <v>20</v>
      </c>
      <c r="L34" s="2" t="s">
        <v>186</v>
      </c>
      <c r="M34" s="2">
        <v>1</v>
      </c>
      <c r="N34" s="2"/>
    </row>
    <row r="35" spans="1:14" x14ac:dyDescent="0.2">
      <c r="A35" s="4" t="s">
        <v>187</v>
      </c>
      <c r="B35" s="4" t="s">
        <v>188</v>
      </c>
      <c r="C35" s="4" t="s">
        <v>189</v>
      </c>
      <c r="D35" s="4" t="s">
        <v>190</v>
      </c>
      <c r="E35" s="4" t="s">
        <v>37</v>
      </c>
      <c r="F35" s="4" t="s">
        <v>18</v>
      </c>
      <c r="G35" s="4"/>
      <c r="H35" s="28">
        <v>377100</v>
      </c>
      <c r="I35" s="5">
        <v>419000</v>
      </c>
      <c r="J35" s="4" t="s">
        <v>19</v>
      </c>
      <c r="K35" s="4" t="s">
        <v>20</v>
      </c>
      <c r="L35" s="4" t="s">
        <v>191</v>
      </c>
      <c r="M35" s="4">
        <v>1</v>
      </c>
      <c r="N35" s="4"/>
    </row>
    <row r="36" spans="1:14" x14ac:dyDescent="0.2">
      <c r="A36" s="2" t="s">
        <v>192</v>
      </c>
      <c r="B36" s="2" t="s">
        <v>193</v>
      </c>
      <c r="C36" s="2" t="s">
        <v>194</v>
      </c>
      <c r="D36" s="2" t="s">
        <v>195</v>
      </c>
      <c r="E36" s="2" t="s">
        <v>17</v>
      </c>
      <c r="F36" s="2" t="s">
        <v>26</v>
      </c>
      <c r="G36" s="2"/>
      <c r="H36" s="27">
        <v>849072</v>
      </c>
      <c r="I36" s="3">
        <v>1064000</v>
      </c>
      <c r="J36" s="2" t="s">
        <v>19</v>
      </c>
      <c r="K36" s="2" t="s">
        <v>27</v>
      </c>
      <c r="L36" s="2"/>
      <c r="M36" s="2">
        <v>1</v>
      </c>
      <c r="N36" s="2"/>
    </row>
    <row r="37" spans="1:14" x14ac:dyDescent="0.2">
      <c r="A37" s="2" t="s">
        <v>196</v>
      </c>
      <c r="B37" s="2" t="s">
        <v>197</v>
      </c>
      <c r="C37" s="2" t="s">
        <v>198</v>
      </c>
      <c r="D37" s="2" t="s">
        <v>199</v>
      </c>
      <c r="E37" s="2" t="s">
        <v>17</v>
      </c>
      <c r="F37" s="2" t="s">
        <v>18</v>
      </c>
      <c r="G37" s="2" t="s">
        <v>200</v>
      </c>
      <c r="H37" s="27">
        <v>427200</v>
      </c>
      <c r="I37" s="3">
        <v>500500</v>
      </c>
      <c r="J37" s="2" t="s">
        <v>19</v>
      </c>
      <c r="K37" s="2" t="s">
        <v>20</v>
      </c>
      <c r="L37" s="2" t="s">
        <v>201</v>
      </c>
      <c r="M37" s="2">
        <v>1</v>
      </c>
      <c r="N37" s="2"/>
    </row>
    <row r="38" spans="1:14" x14ac:dyDescent="0.2">
      <c r="A38" s="2" t="s">
        <v>202</v>
      </c>
      <c r="B38" s="2" t="s">
        <v>203</v>
      </c>
      <c r="C38" s="2" t="s">
        <v>204</v>
      </c>
      <c r="D38" s="2" t="s">
        <v>205</v>
      </c>
      <c r="E38" s="2" t="s">
        <v>17</v>
      </c>
      <c r="F38" s="2" t="s">
        <v>18</v>
      </c>
      <c r="G38" s="2" t="s">
        <v>206</v>
      </c>
      <c r="H38" s="27">
        <v>264382</v>
      </c>
      <c r="I38" s="3">
        <v>356900</v>
      </c>
      <c r="J38" s="2" t="s">
        <v>19</v>
      </c>
      <c r="K38" s="2" t="s">
        <v>20</v>
      </c>
      <c r="L38" s="2" t="s">
        <v>207</v>
      </c>
      <c r="M38" s="2">
        <v>1</v>
      </c>
      <c r="N38" s="2"/>
    </row>
    <row r="39" spans="1:14" x14ac:dyDescent="0.2">
      <c r="A39" s="2" t="s">
        <v>208</v>
      </c>
      <c r="B39" s="2" t="s">
        <v>209</v>
      </c>
      <c r="C39" s="2" t="s">
        <v>210</v>
      </c>
      <c r="D39" s="2" t="s">
        <v>211</v>
      </c>
      <c r="E39" s="2" t="s">
        <v>17</v>
      </c>
      <c r="F39" s="2" t="s">
        <v>18</v>
      </c>
      <c r="G39" s="2" t="s">
        <v>212</v>
      </c>
      <c r="H39" s="27">
        <v>421100</v>
      </c>
      <c r="I39" s="3">
        <v>495000</v>
      </c>
      <c r="J39" s="2" t="s">
        <v>19</v>
      </c>
      <c r="K39" s="2" t="s">
        <v>20</v>
      </c>
      <c r="L39" s="2" t="s">
        <v>213</v>
      </c>
      <c r="M39" s="2">
        <v>1</v>
      </c>
      <c r="N39" s="2"/>
    </row>
    <row r="40" spans="1:14" x14ac:dyDescent="0.2">
      <c r="A40" s="2" t="s">
        <v>214</v>
      </c>
      <c r="B40" s="2" t="s">
        <v>215</v>
      </c>
      <c r="C40" s="2" t="s">
        <v>216</v>
      </c>
      <c r="D40" s="2" t="s">
        <v>217</v>
      </c>
      <c r="E40" s="2" t="s">
        <v>17</v>
      </c>
      <c r="F40" s="2" t="s">
        <v>18</v>
      </c>
      <c r="G40" s="2" t="s">
        <v>218</v>
      </c>
      <c r="H40" s="27">
        <v>378000</v>
      </c>
      <c r="I40" s="3">
        <v>487500</v>
      </c>
      <c r="J40" s="2" t="s">
        <v>19</v>
      </c>
      <c r="K40" s="2" t="s">
        <v>20</v>
      </c>
      <c r="L40" s="2" t="s">
        <v>219</v>
      </c>
      <c r="M40" s="2">
        <v>1</v>
      </c>
      <c r="N40" s="2"/>
    </row>
    <row r="41" spans="1:14" x14ac:dyDescent="0.2">
      <c r="A41" s="8" t="s">
        <v>220</v>
      </c>
      <c r="B41" s="8" t="s">
        <v>221</v>
      </c>
      <c r="C41" s="8" t="s">
        <v>222</v>
      </c>
      <c r="D41" s="8" t="s">
        <v>223</v>
      </c>
      <c r="E41" s="8" t="s">
        <v>116</v>
      </c>
      <c r="F41" s="8" t="s">
        <v>120</v>
      </c>
      <c r="G41" s="8"/>
      <c r="H41" s="29">
        <v>401625</v>
      </c>
      <c r="I41" s="9">
        <v>487500</v>
      </c>
      <c r="J41" s="8" t="s">
        <v>19</v>
      </c>
      <c r="K41" s="8" t="s">
        <v>20</v>
      </c>
      <c r="L41" s="8" t="s">
        <v>224</v>
      </c>
      <c r="M41" s="8">
        <v>1</v>
      </c>
      <c r="N41" s="8"/>
    </row>
    <row r="42" spans="1:14" x14ac:dyDescent="0.2">
      <c r="A42" s="2" t="s">
        <v>225</v>
      </c>
      <c r="B42" s="2" t="s">
        <v>226</v>
      </c>
      <c r="C42" s="2" t="s">
        <v>227</v>
      </c>
      <c r="D42" s="2" t="s">
        <v>228</v>
      </c>
      <c r="E42" s="2" t="s">
        <v>17</v>
      </c>
      <c r="F42" s="2" t="s">
        <v>55</v>
      </c>
      <c r="G42" s="2"/>
      <c r="H42" s="27">
        <v>567500</v>
      </c>
      <c r="I42" s="3">
        <v>950000</v>
      </c>
      <c r="J42" s="2" t="s">
        <v>19</v>
      </c>
      <c r="K42" s="2" t="s">
        <v>20</v>
      </c>
      <c r="L42" s="2" t="s">
        <v>229</v>
      </c>
      <c r="M42" s="2">
        <v>1</v>
      </c>
      <c r="N42" s="2"/>
    </row>
    <row r="43" spans="1:14" x14ac:dyDescent="0.2">
      <c r="A43" s="8" t="s">
        <v>230</v>
      </c>
      <c r="B43" s="8" t="s">
        <v>231</v>
      </c>
      <c r="C43" s="8" t="s">
        <v>232</v>
      </c>
      <c r="D43" s="8" t="s">
        <v>233</v>
      </c>
      <c r="E43" s="8" t="s">
        <v>116</v>
      </c>
      <c r="F43" s="8" t="s">
        <v>55</v>
      </c>
      <c r="G43" s="8"/>
      <c r="H43" s="29">
        <v>3124915</v>
      </c>
      <c r="I43" s="9">
        <v>3814540</v>
      </c>
      <c r="J43" s="8" t="s">
        <v>19</v>
      </c>
      <c r="K43" s="8" t="s">
        <v>20</v>
      </c>
      <c r="L43" s="8"/>
      <c r="M43" s="8">
        <v>1</v>
      </c>
      <c r="N43" s="8"/>
    </row>
    <row r="44" spans="1:14" x14ac:dyDescent="0.2">
      <c r="A44" s="2" t="s">
        <v>234</v>
      </c>
      <c r="B44" s="2" t="s">
        <v>235</v>
      </c>
      <c r="C44" s="2" t="s">
        <v>236</v>
      </c>
      <c r="D44" s="2" t="s">
        <v>237</v>
      </c>
      <c r="E44" s="2" t="s">
        <v>17</v>
      </c>
      <c r="F44" s="2" t="s">
        <v>18</v>
      </c>
      <c r="G44" s="2"/>
      <c r="H44" s="27">
        <v>501840</v>
      </c>
      <c r="I44" s="3">
        <v>627000</v>
      </c>
      <c r="J44" s="2" t="s">
        <v>19</v>
      </c>
      <c r="K44" s="2" t="s">
        <v>20</v>
      </c>
      <c r="L44" s="2" t="s">
        <v>238</v>
      </c>
      <c r="M44" s="2">
        <v>1</v>
      </c>
      <c r="N44" s="2"/>
    </row>
    <row r="45" spans="1:14" x14ac:dyDescent="0.2">
      <c r="A45" s="2" t="s">
        <v>239</v>
      </c>
      <c r="B45" s="2" t="s">
        <v>240</v>
      </c>
      <c r="C45" s="2" t="s">
        <v>241</v>
      </c>
      <c r="D45" s="2" t="s">
        <v>237</v>
      </c>
      <c r="E45" s="2" t="s">
        <v>17</v>
      </c>
      <c r="F45" s="2" t="s">
        <v>242</v>
      </c>
      <c r="G45" s="2"/>
      <c r="H45" s="27">
        <v>688275</v>
      </c>
      <c r="I45" s="3">
        <v>862500</v>
      </c>
      <c r="J45" s="2" t="s">
        <v>19</v>
      </c>
      <c r="K45" s="2" t="s">
        <v>27</v>
      </c>
      <c r="L45" s="2"/>
      <c r="M45" s="2">
        <v>1</v>
      </c>
      <c r="N45" s="2"/>
    </row>
    <row r="46" spans="1:14" ht="70" x14ac:dyDescent="0.2">
      <c r="A46" s="2" t="s">
        <v>243</v>
      </c>
      <c r="B46" s="2" t="s">
        <v>244</v>
      </c>
      <c r="C46" s="2" t="s">
        <v>241</v>
      </c>
      <c r="D46" s="2" t="s">
        <v>245</v>
      </c>
      <c r="E46" s="2" t="s">
        <v>17</v>
      </c>
      <c r="F46" s="2" t="s">
        <v>18</v>
      </c>
      <c r="G46" s="6" t="s">
        <v>246</v>
      </c>
      <c r="H46" s="27">
        <v>2628800</v>
      </c>
      <c r="I46" s="3">
        <v>3198500</v>
      </c>
      <c r="J46" s="2" t="s">
        <v>19</v>
      </c>
      <c r="K46" s="2" t="s">
        <v>20</v>
      </c>
      <c r="L46" s="2" t="s">
        <v>247</v>
      </c>
      <c r="M46" s="2">
        <v>1</v>
      </c>
      <c r="N46" s="2"/>
    </row>
    <row r="47" spans="1:14" x14ac:dyDescent="0.2">
      <c r="A47" s="2" t="s">
        <v>248</v>
      </c>
      <c r="B47" s="2" t="s">
        <v>249</v>
      </c>
      <c r="C47" s="2" t="s">
        <v>250</v>
      </c>
      <c r="D47" s="2" t="s">
        <v>251</v>
      </c>
      <c r="E47" s="2" t="s">
        <v>17</v>
      </c>
      <c r="F47" s="2" t="s">
        <v>18</v>
      </c>
      <c r="G47" s="2" t="s">
        <v>252</v>
      </c>
      <c r="H47" s="27">
        <v>538560</v>
      </c>
      <c r="I47" s="3">
        <v>634500</v>
      </c>
      <c r="J47" s="2" t="s">
        <v>19</v>
      </c>
      <c r="K47" s="2" t="s">
        <v>20</v>
      </c>
      <c r="L47" s="2" t="s">
        <v>253</v>
      </c>
      <c r="M47" s="2">
        <v>1</v>
      </c>
      <c r="N47" s="2"/>
    </row>
    <row r="48" spans="1:14" x14ac:dyDescent="0.2">
      <c r="A48" s="2" t="s">
        <v>254</v>
      </c>
      <c r="B48" s="2" t="s">
        <v>255</v>
      </c>
      <c r="C48" s="2" t="s">
        <v>256</v>
      </c>
      <c r="D48" s="2" t="s">
        <v>257</v>
      </c>
      <c r="E48" s="2" t="s">
        <v>17</v>
      </c>
      <c r="F48" s="2" t="s">
        <v>18</v>
      </c>
      <c r="G48" s="2"/>
      <c r="H48" s="27">
        <v>509960</v>
      </c>
      <c r="I48" s="3">
        <v>579500</v>
      </c>
      <c r="J48" s="2" t="s">
        <v>19</v>
      </c>
      <c r="K48" s="2" t="s">
        <v>20</v>
      </c>
      <c r="L48" s="2" t="s">
        <v>258</v>
      </c>
      <c r="M48" s="2">
        <v>1</v>
      </c>
      <c r="N48" s="2"/>
    </row>
    <row r="49" spans="1:14" ht="98" x14ac:dyDescent="0.2">
      <c r="A49" s="2" t="s">
        <v>259</v>
      </c>
      <c r="B49" s="2" t="s">
        <v>260</v>
      </c>
      <c r="C49" s="2" t="s">
        <v>261</v>
      </c>
      <c r="D49" s="2" t="s">
        <v>257</v>
      </c>
      <c r="E49" s="2" t="s">
        <v>17</v>
      </c>
      <c r="F49" s="2" t="s">
        <v>242</v>
      </c>
      <c r="G49" s="6" t="s">
        <v>262</v>
      </c>
      <c r="H49" s="27">
        <v>5653330</v>
      </c>
      <c r="I49" s="3">
        <v>7110000</v>
      </c>
      <c r="J49" s="2" t="s">
        <v>19</v>
      </c>
      <c r="K49" s="2" t="s">
        <v>27</v>
      </c>
      <c r="L49" s="2"/>
      <c r="M49" s="2">
        <v>1</v>
      </c>
      <c r="N49" s="2"/>
    </row>
    <row r="50" spans="1:14" ht="70" x14ac:dyDescent="0.2">
      <c r="A50" s="2" t="s">
        <v>263</v>
      </c>
      <c r="B50" s="2" t="s">
        <v>264</v>
      </c>
      <c r="C50" s="2" t="s">
        <v>261</v>
      </c>
      <c r="D50" s="2" t="s">
        <v>265</v>
      </c>
      <c r="E50" s="2" t="s">
        <v>17</v>
      </c>
      <c r="F50" s="2" t="s">
        <v>18</v>
      </c>
      <c r="G50" s="6" t="s">
        <v>266</v>
      </c>
      <c r="H50" s="27">
        <v>4341442</v>
      </c>
      <c r="I50" s="3">
        <v>5153000</v>
      </c>
      <c r="J50" s="2" t="s">
        <v>19</v>
      </c>
      <c r="K50" s="2" t="s">
        <v>20</v>
      </c>
      <c r="L50" s="2" t="s">
        <v>267</v>
      </c>
      <c r="M50" s="2">
        <v>1</v>
      </c>
      <c r="N50" s="2"/>
    </row>
    <row r="51" spans="1:14" ht="56" x14ac:dyDescent="0.2">
      <c r="A51" s="2" t="s">
        <v>268</v>
      </c>
      <c r="B51" s="2" t="s">
        <v>269</v>
      </c>
      <c r="C51" s="2" t="s">
        <v>270</v>
      </c>
      <c r="D51" s="2" t="s">
        <v>271</v>
      </c>
      <c r="E51" s="2" t="s">
        <v>17</v>
      </c>
      <c r="F51" s="2" t="s">
        <v>55</v>
      </c>
      <c r="G51" s="6" t="s">
        <v>272</v>
      </c>
      <c r="H51" s="27">
        <v>661500</v>
      </c>
      <c r="I51" s="3">
        <v>787500</v>
      </c>
      <c r="J51" s="2" t="s">
        <v>19</v>
      </c>
      <c r="K51" s="2" t="s">
        <v>20</v>
      </c>
      <c r="L51" s="2" t="s">
        <v>273</v>
      </c>
      <c r="M51" s="2">
        <v>1</v>
      </c>
      <c r="N51" s="2"/>
    </row>
    <row r="52" spans="1:14" ht="84" x14ac:dyDescent="0.2">
      <c r="A52" s="2" t="s">
        <v>274</v>
      </c>
      <c r="B52" s="2" t="s">
        <v>275</v>
      </c>
      <c r="C52" s="2" t="s">
        <v>276</v>
      </c>
      <c r="D52" s="2" t="s">
        <v>277</v>
      </c>
      <c r="E52" s="2" t="s">
        <v>17</v>
      </c>
      <c r="F52" s="2" t="s">
        <v>55</v>
      </c>
      <c r="G52" s="6" t="s">
        <v>278</v>
      </c>
      <c r="H52" s="27">
        <v>900148</v>
      </c>
      <c r="I52" s="3">
        <v>1079700</v>
      </c>
      <c r="J52" s="2" t="s">
        <v>19</v>
      </c>
      <c r="K52" s="2" t="s">
        <v>20</v>
      </c>
      <c r="L52" s="2" t="s">
        <v>279</v>
      </c>
      <c r="M52" s="2">
        <v>1</v>
      </c>
      <c r="N52" s="2"/>
    </row>
    <row r="53" spans="1:14" ht="168" x14ac:dyDescent="0.2">
      <c r="A53" s="2" t="s">
        <v>280</v>
      </c>
      <c r="B53" s="2" t="s">
        <v>281</v>
      </c>
      <c r="C53" s="2" t="s">
        <v>276</v>
      </c>
      <c r="D53" s="2" t="s">
        <v>282</v>
      </c>
      <c r="E53" s="2" t="s">
        <v>17</v>
      </c>
      <c r="F53" s="2" t="s">
        <v>283</v>
      </c>
      <c r="G53" s="6" t="s">
        <v>284</v>
      </c>
      <c r="H53" s="27">
        <v>508725</v>
      </c>
      <c r="I53" s="3">
        <v>696500</v>
      </c>
      <c r="J53" s="2" t="s">
        <v>19</v>
      </c>
      <c r="K53" s="2" t="s">
        <v>20</v>
      </c>
      <c r="L53" s="2" t="s">
        <v>285</v>
      </c>
      <c r="M53" s="2">
        <v>1</v>
      </c>
      <c r="N53" s="2"/>
    </row>
    <row r="54" spans="1:14" x14ac:dyDescent="0.2">
      <c r="A54" s="2" t="s">
        <v>286</v>
      </c>
      <c r="B54" s="2" t="s">
        <v>287</v>
      </c>
      <c r="C54" s="2" t="s">
        <v>271</v>
      </c>
      <c r="D54" s="2" t="s">
        <v>288</v>
      </c>
      <c r="E54" s="2" t="s">
        <v>17</v>
      </c>
      <c r="F54" s="2" t="s">
        <v>18</v>
      </c>
      <c r="G54" s="2"/>
      <c r="H54" s="27">
        <v>262080</v>
      </c>
      <c r="I54" s="3">
        <v>312000</v>
      </c>
      <c r="J54" s="2" t="s">
        <v>19</v>
      </c>
      <c r="K54" s="2" t="s">
        <v>20</v>
      </c>
      <c r="L54" s="2" t="s">
        <v>289</v>
      </c>
      <c r="M54" s="2">
        <v>1</v>
      </c>
      <c r="N54" s="2"/>
    </row>
    <row r="55" spans="1:14" x14ac:dyDescent="0.2">
      <c r="A55" s="4" t="s">
        <v>290</v>
      </c>
      <c r="B55" s="4" t="s">
        <v>291</v>
      </c>
      <c r="C55" s="4" t="s">
        <v>271</v>
      </c>
      <c r="D55" s="4" t="s">
        <v>288</v>
      </c>
      <c r="E55" s="4" t="s">
        <v>37</v>
      </c>
      <c r="F55" s="4" t="s">
        <v>18</v>
      </c>
      <c r="G55" s="4" t="s">
        <v>292</v>
      </c>
      <c r="H55" s="28">
        <v>2501000</v>
      </c>
      <c r="I55" s="5">
        <v>3050000</v>
      </c>
      <c r="J55" s="4" t="s">
        <v>19</v>
      </c>
      <c r="K55" s="4" t="s">
        <v>20</v>
      </c>
      <c r="L55" s="4" t="s">
        <v>293</v>
      </c>
      <c r="M55" s="4">
        <v>1</v>
      </c>
      <c r="N55" s="4"/>
    </row>
    <row r="56" spans="1:14" x14ac:dyDescent="0.2">
      <c r="A56" s="2" t="s">
        <v>294</v>
      </c>
      <c r="B56" s="2" t="s">
        <v>295</v>
      </c>
      <c r="C56" s="2" t="s">
        <v>282</v>
      </c>
      <c r="D56" s="2" t="s">
        <v>282</v>
      </c>
      <c r="E56" s="2" t="s">
        <v>17</v>
      </c>
      <c r="F56" s="2" t="s">
        <v>18</v>
      </c>
      <c r="G56" s="2" t="s">
        <v>296</v>
      </c>
      <c r="H56" s="27">
        <v>663000</v>
      </c>
      <c r="I56" s="3">
        <v>837500</v>
      </c>
      <c r="J56" s="2" t="s">
        <v>19</v>
      </c>
      <c r="K56" s="2" t="s">
        <v>20</v>
      </c>
      <c r="L56" s="2" t="s">
        <v>297</v>
      </c>
      <c r="M56" s="2">
        <v>1</v>
      </c>
      <c r="N56" s="2"/>
    </row>
    <row r="57" spans="1:14" ht="42" x14ac:dyDescent="0.2">
      <c r="A57" s="4" t="s">
        <v>298</v>
      </c>
      <c r="B57" s="4" t="s">
        <v>299</v>
      </c>
      <c r="C57" s="4" t="s">
        <v>300</v>
      </c>
      <c r="D57" s="4" t="s">
        <v>301</v>
      </c>
      <c r="E57" s="4" t="s">
        <v>37</v>
      </c>
      <c r="F57" s="4" t="s">
        <v>55</v>
      </c>
      <c r="G57" s="7" t="s">
        <v>302</v>
      </c>
      <c r="H57" s="28">
        <v>589569</v>
      </c>
      <c r="I57" s="5">
        <v>686400</v>
      </c>
      <c r="J57" s="4" t="s">
        <v>19</v>
      </c>
      <c r="K57" s="4" t="s">
        <v>20</v>
      </c>
      <c r="L57" s="4" t="s">
        <v>303</v>
      </c>
      <c r="M57" s="4">
        <v>2</v>
      </c>
      <c r="N57" s="4"/>
    </row>
    <row r="58" spans="1:14" ht="70" x14ac:dyDescent="0.2">
      <c r="A58" s="4" t="s">
        <v>304</v>
      </c>
      <c r="B58" s="4" t="s">
        <v>305</v>
      </c>
      <c r="C58" s="4" t="s">
        <v>300</v>
      </c>
      <c r="D58" s="4" t="s">
        <v>306</v>
      </c>
      <c r="E58" s="4" t="s">
        <v>37</v>
      </c>
      <c r="F58" s="4" t="s">
        <v>18</v>
      </c>
      <c r="G58" s="7" t="s">
        <v>307</v>
      </c>
      <c r="H58" s="28">
        <v>258000</v>
      </c>
      <c r="I58" s="5">
        <v>322500</v>
      </c>
      <c r="J58" s="4" t="s">
        <v>19</v>
      </c>
      <c r="K58" s="4" t="s">
        <v>20</v>
      </c>
      <c r="L58" s="4" t="s">
        <v>308</v>
      </c>
      <c r="M58" s="4">
        <v>1</v>
      </c>
      <c r="N58" s="4"/>
    </row>
    <row r="59" spans="1:14" x14ac:dyDescent="0.2">
      <c r="A59" s="2" t="s">
        <v>309</v>
      </c>
      <c r="B59" s="2" t="s">
        <v>310</v>
      </c>
      <c r="C59" s="2" t="s">
        <v>311</v>
      </c>
      <c r="D59" s="2" t="s">
        <v>312</v>
      </c>
      <c r="E59" s="2" t="s">
        <v>17</v>
      </c>
      <c r="F59" s="2" t="s">
        <v>18</v>
      </c>
      <c r="G59" s="2"/>
      <c r="H59" s="27">
        <v>375000</v>
      </c>
      <c r="I59" s="3">
        <v>475000</v>
      </c>
      <c r="J59" s="2" t="s">
        <v>19</v>
      </c>
      <c r="K59" s="2" t="s">
        <v>20</v>
      </c>
      <c r="L59" s="2" t="s">
        <v>313</v>
      </c>
      <c r="M59" s="2">
        <v>1</v>
      </c>
      <c r="N59" s="2"/>
    </row>
    <row r="60" spans="1:14" ht="70" x14ac:dyDescent="0.2">
      <c r="A60" s="8" t="s">
        <v>314</v>
      </c>
      <c r="B60" s="8" t="s">
        <v>315</v>
      </c>
      <c r="C60" s="8" t="s">
        <v>316</v>
      </c>
      <c r="D60" s="8" t="s">
        <v>317</v>
      </c>
      <c r="E60" s="8" t="s">
        <v>116</v>
      </c>
      <c r="F60" s="8" t="s">
        <v>55</v>
      </c>
      <c r="G60" s="10" t="s">
        <v>318</v>
      </c>
      <c r="H60" s="29">
        <v>2011035</v>
      </c>
      <c r="I60" s="9">
        <v>2461488</v>
      </c>
      <c r="J60" s="8" t="s">
        <v>19</v>
      </c>
      <c r="K60" s="8" t="s">
        <v>20</v>
      </c>
      <c r="L60" s="8"/>
      <c r="M60" s="8">
        <v>1</v>
      </c>
      <c r="N60" s="8" t="s">
        <v>319</v>
      </c>
    </row>
    <row r="61" spans="1:14" ht="126" x14ac:dyDescent="0.2">
      <c r="A61" s="4" t="s">
        <v>320</v>
      </c>
      <c r="B61" s="4" t="s">
        <v>315</v>
      </c>
      <c r="C61" s="4" t="s">
        <v>317</v>
      </c>
      <c r="D61" s="4" t="s">
        <v>321</v>
      </c>
      <c r="E61" s="4" t="s">
        <v>37</v>
      </c>
      <c r="F61" s="4" t="s">
        <v>18</v>
      </c>
      <c r="G61" s="7" t="s">
        <v>322</v>
      </c>
      <c r="H61" s="28">
        <v>2011035</v>
      </c>
      <c r="I61" s="5">
        <v>2461488</v>
      </c>
      <c r="J61" s="4" t="s">
        <v>19</v>
      </c>
      <c r="K61" s="4" t="s">
        <v>20</v>
      </c>
      <c r="L61" s="4" t="s">
        <v>323</v>
      </c>
      <c r="M61" s="4">
        <v>1</v>
      </c>
      <c r="N61" s="4" t="s">
        <v>319</v>
      </c>
    </row>
    <row r="62" spans="1:14" x14ac:dyDescent="0.2">
      <c r="A62" s="2" t="s">
        <v>324</v>
      </c>
      <c r="B62" s="2" t="s">
        <v>325</v>
      </c>
      <c r="C62" s="2" t="s">
        <v>326</v>
      </c>
      <c r="D62" s="2" t="s">
        <v>327</v>
      </c>
      <c r="E62" s="2" t="s">
        <v>17</v>
      </c>
      <c r="F62" s="2" t="s">
        <v>26</v>
      </c>
      <c r="G62" s="2"/>
      <c r="H62" s="27">
        <v>0</v>
      </c>
      <c r="I62" s="3"/>
      <c r="J62" s="2" t="s">
        <v>19</v>
      </c>
      <c r="K62" s="2" t="s">
        <v>27</v>
      </c>
      <c r="L62" s="2"/>
      <c r="M62" s="2">
        <v>1</v>
      </c>
      <c r="N62" s="2"/>
    </row>
    <row r="63" spans="1:14" x14ac:dyDescent="0.2">
      <c r="A63" s="2" t="s">
        <v>328</v>
      </c>
      <c r="B63" s="2" t="s">
        <v>329</v>
      </c>
      <c r="C63" s="2" t="s">
        <v>330</v>
      </c>
      <c r="D63" s="2" t="s">
        <v>331</v>
      </c>
      <c r="E63" s="2" t="s">
        <v>17</v>
      </c>
      <c r="F63" s="2" t="s">
        <v>55</v>
      </c>
      <c r="G63" s="2"/>
      <c r="H63" s="27">
        <v>298302</v>
      </c>
      <c r="I63" s="3">
        <v>374400</v>
      </c>
      <c r="J63" s="2" t="s">
        <v>19</v>
      </c>
      <c r="K63" s="2" t="s">
        <v>20</v>
      </c>
      <c r="L63" s="2" t="s">
        <v>332</v>
      </c>
      <c r="M63" s="2">
        <v>1</v>
      </c>
      <c r="N63" s="2"/>
    </row>
    <row r="64" spans="1:14" x14ac:dyDescent="0.2">
      <c r="A64" s="8" t="s">
        <v>333</v>
      </c>
      <c r="B64" s="8" t="s">
        <v>334</v>
      </c>
      <c r="C64" s="8" t="s">
        <v>330</v>
      </c>
      <c r="D64" s="8" t="s">
        <v>335</v>
      </c>
      <c r="E64" s="8" t="s">
        <v>116</v>
      </c>
      <c r="F64" s="8" t="s">
        <v>69</v>
      </c>
      <c r="G64" s="8"/>
      <c r="H64" s="29">
        <v>0</v>
      </c>
      <c r="I64" s="9"/>
      <c r="J64" s="8" t="s">
        <v>19</v>
      </c>
      <c r="K64" s="8" t="s">
        <v>27</v>
      </c>
      <c r="L64" s="8"/>
      <c r="M64" s="8">
        <v>1</v>
      </c>
      <c r="N64" s="8"/>
    </row>
    <row r="65" spans="1:14" ht="42" x14ac:dyDescent="0.2">
      <c r="A65" s="8" t="s">
        <v>336</v>
      </c>
      <c r="B65" s="8" t="s">
        <v>337</v>
      </c>
      <c r="C65" s="8" t="s">
        <v>338</v>
      </c>
      <c r="D65" s="8" t="s">
        <v>335</v>
      </c>
      <c r="E65" s="8" t="s">
        <v>116</v>
      </c>
      <c r="F65" s="8" t="s">
        <v>55</v>
      </c>
      <c r="G65" s="10" t="s">
        <v>339</v>
      </c>
      <c r="H65" s="29">
        <v>1540000</v>
      </c>
      <c r="I65" s="9">
        <v>2000000</v>
      </c>
      <c r="J65" s="8" t="s">
        <v>19</v>
      </c>
      <c r="K65" s="8" t="s">
        <v>20</v>
      </c>
      <c r="L65" s="8" t="s">
        <v>340</v>
      </c>
      <c r="M65" s="8">
        <v>1</v>
      </c>
      <c r="N65" s="8"/>
    </row>
    <row r="66" spans="1:14" x14ac:dyDescent="0.2">
      <c r="A66" s="4" t="s">
        <v>341</v>
      </c>
      <c r="B66" s="4" t="s">
        <v>342</v>
      </c>
      <c r="C66" s="4" t="s">
        <v>338</v>
      </c>
      <c r="D66" s="4" t="s">
        <v>343</v>
      </c>
      <c r="E66" s="4" t="s">
        <v>37</v>
      </c>
      <c r="F66" s="4" t="s">
        <v>18</v>
      </c>
      <c r="G66" s="4" t="s">
        <v>344</v>
      </c>
      <c r="H66" s="28">
        <v>233600</v>
      </c>
      <c r="I66" s="5">
        <v>292000</v>
      </c>
      <c r="J66" s="4" t="s">
        <v>19</v>
      </c>
      <c r="K66" s="4" t="s">
        <v>20</v>
      </c>
      <c r="L66" s="4" t="s">
        <v>345</v>
      </c>
      <c r="M66" s="4">
        <v>1</v>
      </c>
      <c r="N66" s="4"/>
    </row>
    <row r="67" spans="1:14" ht="56" x14ac:dyDescent="0.2">
      <c r="A67" s="4" t="s">
        <v>346</v>
      </c>
      <c r="B67" s="4" t="s">
        <v>347</v>
      </c>
      <c r="C67" s="4" t="s">
        <v>348</v>
      </c>
      <c r="D67" s="4" t="s">
        <v>349</v>
      </c>
      <c r="E67" s="4" t="s">
        <v>37</v>
      </c>
      <c r="F67" s="4" t="s">
        <v>18</v>
      </c>
      <c r="G67" s="7" t="s">
        <v>350</v>
      </c>
      <c r="H67" s="28">
        <v>280000</v>
      </c>
      <c r="I67" s="5">
        <v>365000</v>
      </c>
      <c r="J67" s="4" t="s">
        <v>19</v>
      </c>
      <c r="K67" s="4" t="s">
        <v>20</v>
      </c>
      <c r="L67" s="4" t="s">
        <v>351</v>
      </c>
      <c r="M67" s="4">
        <v>1</v>
      </c>
      <c r="N67" s="4"/>
    </row>
    <row r="68" spans="1:14" ht="42" x14ac:dyDescent="0.2">
      <c r="A68" s="2" t="s">
        <v>352</v>
      </c>
      <c r="B68" s="2" t="s">
        <v>353</v>
      </c>
      <c r="C68" s="2" t="s">
        <v>354</v>
      </c>
      <c r="D68" s="2" t="s">
        <v>355</v>
      </c>
      <c r="E68" s="2" t="s">
        <v>17</v>
      </c>
      <c r="F68" s="2" t="s">
        <v>120</v>
      </c>
      <c r="G68" s="6" t="s">
        <v>356</v>
      </c>
      <c r="H68" s="27">
        <v>546000</v>
      </c>
      <c r="I68" s="3">
        <v>675000</v>
      </c>
      <c r="J68" s="2" t="s">
        <v>19</v>
      </c>
      <c r="K68" s="2" t="s">
        <v>20</v>
      </c>
      <c r="L68" s="2" t="s">
        <v>357</v>
      </c>
      <c r="M68" s="2">
        <v>1</v>
      </c>
      <c r="N68" s="2"/>
    </row>
    <row r="69" spans="1:14" x14ac:dyDescent="0.2">
      <c r="A69" s="2" t="s">
        <v>358</v>
      </c>
      <c r="B69" s="2" t="s">
        <v>359</v>
      </c>
      <c r="C69" s="2" t="s">
        <v>360</v>
      </c>
      <c r="D69" s="2" t="s">
        <v>361</v>
      </c>
      <c r="E69" s="2" t="s">
        <v>17</v>
      </c>
      <c r="F69" s="2" t="s">
        <v>26</v>
      </c>
      <c r="G69" s="2"/>
      <c r="H69" s="27">
        <v>0</v>
      </c>
      <c r="I69" s="3"/>
      <c r="J69" s="2" t="s">
        <v>19</v>
      </c>
      <c r="K69" s="2" t="s">
        <v>27</v>
      </c>
      <c r="L69" s="2"/>
      <c r="M69" s="2">
        <v>2</v>
      </c>
      <c r="N69" s="2"/>
    </row>
    <row r="70" spans="1:14" ht="42" x14ac:dyDescent="0.2">
      <c r="A70" s="2" t="s">
        <v>362</v>
      </c>
      <c r="B70" s="2" t="s">
        <v>363</v>
      </c>
      <c r="C70" s="2" t="s">
        <v>364</v>
      </c>
      <c r="D70" s="2" t="s">
        <v>365</v>
      </c>
      <c r="E70" s="2" t="s">
        <v>17</v>
      </c>
      <c r="F70" s="2" t="s">
        <v>18</v>
      </c>
      <c r="G70" s="6" t="s">
        <v>366</v>
      </c>
      <c r="H70" s="27">
        <v>682500</v>
      </c>
      <c r="I70" s="3">
        <v>712500</v>
      </c>
      <c r="J70" s="2" t="s">
        <v>19</v>
      </c>
      <c r="K70" s="2" t="s">
        <v>20</v>
      </c>
      <c r="L70" s="2" t="s">
        <v>367</v>
      </c>
      <c r="M70" s="2">
        <v>1</v>
      </c>
      <c r="N70" s="2"/>
    </row>
    <row r="71" spans="1:14" x14ac:dyDescent="0.2">
      <c r="A71" s="2" t="s">
        <v>368</v>
      </c>
      <c r="B71" s="2" t="s">
        <v>369</v>
      </c>
      <c r="C71" s="2" t="s">
        <v>370</v>
      </c>
      <c r="D71" s="2" t="s">
        <v>365</v>
      </c>
      <c r="E71" s="2" t="s">
        <v>17</v>
      </c>
      <c r="F71" s="2" t="s">
        <v>55</v>
      </c>
      <c r="G71" s="2" t="s">
        <v>371</v>
      </c>
      <c r="H71" s="27">
        <v>980000</v>
      </c>
      <c r="I71" s="3">
        <v>1200000</v>
      </c>
      <c r="J71" s="2" t="s">
        <v>19</v>
      </c>
      <c r="K71" s="2" t="s">
        <v>20</v>
      </c>
      <c r="L71" s="2" t="s">
        <v>372</v>
      </c>
      <c r="M71" s="2">
        <v>1</v>
      </c>
      <c r="N71" s="2"/>
    </row>
    <row r="72" spans="1:14" ht="56" x14ac:dyDescent="0.2">
      <c r="A72" s="2" t="s">
        <v>373</v>
      </c>
      <c r="B72" s="2" t="s">
        <v>374</v>
      </c>
      <c r="C72" s="2" t="s">
        <v>370</v>
      </c>
      <c r="D72" s="2" t="s">
        <v>361</v>
      </c>
      <c r="E72" s="2" t="s">
        <v>17</v>
      </c>
      <c r="F72" s="2" t="s">
        <v>18</v>
      </c>
      <c r="G72" s="6" t="s">
        <v>375</v>
      </c>
      <c r="H72" s="27">
        <v>415350</v>
      </c>
      <c r="I72" s="3">
        <v>552500</v>
      </c>
      <c r="J72" s="2" t="s">
        <v>19</v>
      </c>
      <c r="K72" s="2" t="s">
        <v>20</v>
      </c>
      <c r="L72" s="2" t="s">
        <v>376</v>
      </c>
      <c r="M72" s="2">
        <v>1</v>
      </c>
      <c r="N72" s="2"/>
    </row>
    <row r="73" spans="1:14" x14ac:dyDescent="0.2">
      <c r="A73" s="2" t="s">
        <v>377</v>
      </c>
      <c r="B73" s="2" t="s">
        <v>378</v>
      </c>
      <c r="C73" s="2" t="s">
        <v>365</v>
      </c>
      <c r="D73" s="2" t="s">
        <v>379</v>
      </c>
      <c r="E73" s="2" t="s">
        <v>17</v>
      </c>
      <c r="F73" s="2" t="s">
        <v>18</v>
      </c>
      <c r="G73" s="2"/>
      <c r="H73" s="27">
        <v>879700</v>
      </c>
      <c r="I73" s="3">
        <v>1079700</v>
      </c>
      <c r="J73" s="2" t="s">
        <v>19</v>
      </c>
      <c r="K73" s="2" t="s">
        <v>20</v>
      </c>
      <c r="L73" s="2" t="s">
        <v>380</v>
      </c>
      <c r="M73" s="2">
        <v>1</v>
      </c>
      <c r="N73" s="2"/>
    </row>
    <row r="74" spans="1:14" x14ac:dyDescent="0.2">
      <c r="A74" s="8" t="s">
        <v>381</v>
      </c>
      <c r="B74" s="8" t="s">
        <v>382</v>
      </c>
      <c r="C74" s="8" t="s">
        <v>383</v>
      </c>
      <c r="D74" s="8" t="s">
        <v>383</v>
      </c>
      <c r="E74" s="8" t="s">
        <v>116</v>
      </c>
      <c r="F74" s="8" t="s">
        <v>18</v>
      </c>
      <c r="G74" s="8"/>
      <c r="H74" s="29">
        <v>954500</v>
      </c>
      <c r="I74" s="9">
        <v>1200000</v>
      </c>
      <c r="J74" s="8" t="s">
        <v>19</v>
      </c>
      <c r="K74" s="8" t="s">
        <v>20</v>
      </c>
      <c r="L74" s="8" t="s">
        <v>384</v>
      </c>
      <c r="M74" s="8">
        <v>1</v>
      </c>
      <c r="N74" s="8"/>
    </row>
    <row r="75" spans="1:14" ht="140" x14ac:dyDescent="0.2">
      <c r="A75" s="8" t="s">
        <v>385</v>
      </c>
      <c r="B75" s="8" t="s">
        <v>386</v>
      </c>
      <c r="C75" s="8" t="s">
        <v>387</v>
      </c>
      <c r="D75" s="8" t="s">
        <v>388</v>
      </c>
      <c r="E75" s="8" t="s">
        <v>116</v>
      </c>
      <c r="F75" s="8" t="s">
        <v>242</v>
      </c>
      <c r="G75" s="10" t="s">
        <v>389</v>
      </c>
      <c r="H75" s="29">
        <v>1926990</v>
      </c>
      <c r="I75" s="9">
        <v>2745000</v>
      </c>
      <c r="J75" s="8" t="s">
        <v>19</v>
      </c>
      <c r="K75" s="8" t="s">
        <v>27</v>
      </c>
      <c r="L75" s="8"/>
      <c r="M75" s="8">
        <v>2</v>
      </c>
      <c r="N75" s="8" t="s">
        <v>319</v>
      </c>
    </row>
    <row r="76" spans="1:14" ht="56" x14ac:dyDescent="0.2">
      <c r="A76" s="2" t="s">
        <v>390</v>
      </c>
      <c r="B76" s="2" t="s">
        <v>386</v>
      </c>
      <c r="C76" s="2" t="s">
        <v>391</v>
      </c>
      <c r="D76" s="2" t="s">
        <v>388</v>
      </c>
      <c r="E76" s="2" t="s">
        <v>17</v>
      </c>
      <c r="F76" s="2" t="s">
        <v>242</v>
      </c>
      <c r="G76" s="6" t="s">
        <v>392</v>
      </c>
      <c r="H76" s="27">
        <v>1926990</v>
      </c>
      <c r="I76" s="3">
        <v>2745000</v>
      </c>
      <c r="J76" s="2" t="s">
        <v>19</v>
      </c>
      <c r="K76" s="2" t="s">
        <v>27</v>
      </c>
      <c r="L76" s="2"/>
      <c r="M76" s="2">
        <v>2</v>
      </c>
      <c r="N76" s="2" t="s">
        <v>319</v>
      </c>
    </row>
    <row r="77" spans="1:14" x14ac:dyDescent="0.2">
      <c r="A77" s="2" t="s">
        <v>393</v>
      </c>
      <c r="B77" s="2" t="s">
        <v>394</v>
      </c>
      <c r="C77" s="2" t="s">
        <v>395</v>
      </c>
      <c r="D77" s="2" t="s">
        <v>396</v>
      </c>
      <c r="E77" s="2" t="s">
        <v>17</v>
      </c>
      <c r="F77" s="2" t="s">
        <v>242</v>
      </c>
      <c r="G77" s="2"/>
      <c r="H77" s="27">
        <v>2086180</v>
      </c>
      <c r="I77" s="3">
        <v>2806000</v>
      </c>
      <c r="J77" s="2" t="s">
        <v>19</v>
      </c>
      <c r="K77" s="2" t="s">
        <v>27</v>
      </c>
      <c r="L77" s="2"/>
      <c r="M77" s="2">
        <v>2</v>
      </c>
      <c r="N77" s="2"/>
    </row>
    <row r="78" spans="1:14" x14ac:dyDescent="0.2">
      <c r="A78" s="8" t="s">
        <v>397</v>
      </c>
      <c r="B78" s="8" t="s">
        <v>398</v>
      </c>
      <c r="C78" s="8" t="s">
        <v>399</v>
      </c>
      <c r="D78" s="8" t="s">
        <v>399</v>
      </c>
      <c r="E78" s="8" t="s">
        <v>116</v>
      </c>
      <c r="F78" s="8" t="s">
        <v>62</v>
      </c>
      <c r="G78" s="8"/>
      <c r="H78" s="29">
        <v>627000</v>
      </c>
      <c r="I78" s="9">
        <v>712500</v>
      </c>
      <c r="J78" s="8" t="s">
        <v>19</v>
      </c>
      <c r="K78" s="8" t="s">
        <v>20</v>
      </c>
      <c r="L78" s="8" t="s">
        <v>400</v>
      </c>
      <c r="M78" s="8">
        <v>1</v>
      </c>
      <c r="N78" s="8"/>
    </row>
    <row r="79" spans="1:14" ht="56" x14ac:dyDescent="0.2">
      <c r="A79" s="2" t="s">
        <v>401</v>
      </c>
      <c r="B79" s="2" t="s">
        <v>402</v>
      </c>
      <c r="C79" s="2" t="s">
        <v>403</v>
      </c>
      <c r="D79" s="2" t="s">
        <v>404</v>
      </c>
      <c r="E79" s="2" t="s">
        <v>17</v>
      </c>
      <c r="F79" s="2" t="s">
        <v>55</v>
      </c>
      <c r="G79" s="6" t="s">
        <v>405</v>
      </c>
      <c r="H79" s="27">
        <v>306600</v>
      </c>
      <c r="I79" s="3">
        <v>380000</v>
      </c>
      <c r="J79" s="2" t="s">
        <v>19</v>
      </c>
      <c r="K79" s="2" t="s">
        <v>20</v>
      </c>
      <c r="L79" s="2" t="s">
        <v>406</v>
      </c>
      <c r="M79" s="2">
        <v>1</v>
      </c>
      <c r="N79" s="2"/>
    </row>
    <row r="80" spans="1:14" x14ac:dyDescent="0.2">
      <c r="A80" s="2" t="s">
        <v>407</v>
      </c>
      <c r="B80" s="2" t="s">
        <v>408</v>
      </c>
      <c r="C80" s="2" t="s">
        <v>409</v>
      </c>
      <c r="D80" s="2" t="s">
        <v>404</v>
      </c>
      <c r="E80" s="2" t="s">
        <v>17</v>
      </c>
      <c r="F80" s="2" t="s">
        <v>26</v>
      </c>
      <c r="G80" s="2"/>
      <c r="H80" s="27">
        <v>1147200</v>
      </c>
      <c r="I80" s="3">
        <v>1509000</v>
      </c>
      <c r="J80" s="2" t="s">
        <v>19</v>
      </c>
      <c r="K80" s="2" t="s">
        <v>27</v>
      </c>
      <c r="L80" s="2"/>
      <c r="M80" s="2">
        <v>2</v>
      </c>
      <c r="N80" s="2"/>
    </row>
    <row r="81" spans="1:14" x14ac:dyDescent="0.2">
      <c r="A81" s="2" t="s">
        <v>410</v>
      </c>
      <c r="B81" s="2" t="s">
        <v>411</v>
      </c>
      <c r="C81" s="2" t="s">
        <v>412</v>
      </c>
      <c r="D81" s="2" t="s">
        <v>413</v>
      </c>
      <c r="E81" s="2" t="s">
        <v>17</v>
      </c>
      <c r="F81" s="2" t="s">
        <v>26</v>
      </c>
      <c r="G81" s="2"/>
      <c r="H81" s="27">
        <v>0</v>
      </c>
      <c r="I81" s="3"/>
      <c r="J81" s="2" t="s">
        <v>19</v>
      </c>
      <c r="K81" s="2" t="s">
        <v>27</v>
      </c>
      <c r="L81" s="2"/>
      <c r="M81" s="2">
        <v>1</v>
      </c>
      <c r="N81" s="2"/>
    </row>
    <row r="82" spans="1:14" x14ac:dyDescent="0.2">
      <c r="A82" s="2" t="s">
        <v>414</v>
      </c>
      <c r="B82" s="2" t="s">
        <v>415</v>
      </c>
      <c r="C82" s="2" t="s">
        <v>416</v>
      </c>
      <c r="D82" s="2" t="s">
        <v>417</v>
      </c>
      <c r="E82" s="2" t="s">
        <v>17</v>
      </c>
      <c r="F82" s="2" t="s">
        <v>18</v>
      </c>
      <c r="G82" s="2"/>
      <c r="H82" s="27">
        <v>254550</v>
      </c>
      <c r="I82" s="3">
        <v>398000</v>
      </c>
      <c r="J82" s="2" t="s">
        <v>19</v>
      </c>
      <c r="K82" s="2" t="s">
        <v>20</v>
      </c>
      <c r="L82" s="2" t="s">
        <v>418</v>
      </c>
      <c r="M82" s="2">
        <v>1</v>
      </c>
      <c r="N82" s="2"/>
    </row>
    <row r="83" spans="1:14" x14ac:dyDescent="0.2">
      <c r="A83" s="2" t="s">
        <v>419</v>
      </c>
      <c r="B83" s="2" t="s">
        <v>420</v>
      </c>
      <c r="C83" s="2" t="s">
        <v>421</v>
      </c>
      <c r="D83" s="2" t="s">
        <v>422</v>
      </c>
      <c r="E83" s="2" t="s">
        <v>17</v>
      </c>
      <c r="F83" s="2" t="s">
        <v>18</v>
      </c>
      <c r="G83" s="2" t="s">
        <v>423</v>
      </c>
      <c r="H83" s="27">
        <v>362460</v>
      </c>
      <c r="I83" s="3">
        <v>446500</v>
      </c>
      <c r="J83" s="2" t="s">
        <v>19</v>
      </c>
      <c r="K83" s="2" t="s">
        <v>20</v>
      </c>
      <c r="L83" s="2" t="s">
        <v>424</v>
      </c>
      <c r="M83" s="2">
        <v>1</v>
      </c>
      <c r="N83" s="2"/>
    </row>
    <row r="84" spans="1:14" x14ac:dyDescent="0.2">
      <c r="A84" s="2" t="s">
        <v>425</v>
      </c>
      <c r="B84" s="2" t="s">
        <v>426</v>
      </c>
      <c r="C84" s="2" t="s">
        <v>427</v>
      </c>
      <c r="D84" s="2" t="s">
        <v>428</v>
      </c>
      <c r="E84" s="2" t="s">
        <v>17</v>
      </c>
      <c r="F84" s="2" t="s">
        <v>18</v>
      </c>
      <c r="G84" s="2"/>
      <c r="H84" s="27">
        <v>613202</v>
      </c>
      <c r="I84" s="3">
        <v>885000</v>
      </c>
      <c r="J84" s="2" t="s">
        <v>19</v>
      </c>
      <c r="K84" s="2" t="s">
        <v>20</v>
      </c>
      <c r="L84" s="2" t="s">
        <v>429</v>
      </c>
      <c r="M84" s="2">
        <v>1</v>
      </c>
      <c r="N84" s="2"/>
    </row>
    <row r="85" spans="1:14" ht="70" x14ac:dyDescent="0.2">
      <c r="A85" s="2" t="s">
        <v>430</v>
      </c>
      <c r="B85" s="2" t="s">
        <v>431</v>
      </c>
      <c r="C85" s="2" t="s">
        <v>432</v>
      </c>
      <c r="D85" s="2" t="s">
        <v>433</v>
      </c>
      <c r="E85" s="2" t="s">
        <v>17</v>
      </c>
      <c r="F85" s="2" t="s">
        <v>434</v>
      </c>
      <c r="G85" s="6" t="s">
        <v>435</v>
      </c>
      <c r="H85" s="27">
        <v>581975</v>
      </c>
      <c r="I85" s="3">
        <v>687500</v>
      </c>
      <c r="J85" s="2" t="s">
        <v>19</v>
      </c>
      <c r="K85" s="2" t="s">
        <v>20</v>
      </c>
      <c r="L85" s="2" t="s">
        <v>436</v>
      </c>
      <c r="M85" s="2">
        <v>1</v>
      </c>
      <c r="N85" s="2"/>
    </row>
    <row r="86" spans="1:14" x14ac:dyDescent="0.2">
      <c r="A86" s="2" t="s">
        <v>437</v>
      </c>
      <c r="B86" s="2" t="s">
        <v>438</v>
      </c>
      <c r="C86" s="2" t="s">
        <v>439</v>
      </c>
      <c r="D86" s="2" t="s">
        <v>433</v>
      </c>
      <c r="E86" s="2" t="s">
        <v>17</v>
      </c>
      <c r="F86" s="2" t="s">
        <v>18</v>
      </c>
      <c r="G86" s="2"/>
      <c r="H86" s="27">
        <v>448324</v>
      </c>
      <c r="I86" s="3">
        <v>587500</v>
      </c>
      <c r="J86" s="2" t="s">
        <v>19</v>
      </c>
      <c r="K86" s="2" t="s">
        <v>20</v>
      </c>
      <c r="L86" s="2" t="s">
        <v>440</v>
      </c>
      <c r="M86" s="2">
        <v>1</v>
      </c>
      <c r="N86" s="2"/>
    </row>
    <row r="87" spans="1:14" ht="42" x14ac:dyDescent="0.2">
      <c r="A87" s="8" t="s">
        <v>441</v>
      </c>
      <c r="B87" s="8" t="s">
        <v>442</v>
      </c>
      <c r="C87" s="8" t="s">
        <v>443</v>
      </c>
      <c r="D87" s="8" t="s">
        <v>443</v>
      </c>
      <c r="E87" s="8" t="s">
        <v>116</v>
      </c>
      <c r="F87" s="8" t="s">
        <v>120</v>
      </c>
      <c r="G87" s="10" t="s">
        <v>444</v>
      </c>
      <c r="H87" s="29">
        <v>379720</v>
      </c>
      <c r="I87" s="9">
        <v>446500</v>
      </c>
      <c r="J87" s="8" t="s">
        <v>19</v>
      </c>
      <c r="K87" s="8" t="s">
        <v>20</v>
      </c>
      <c r="L87" s="8" t="s">
        <v>445</v>
      </c>
      <c r="M87" s="8">
        <v>1</v>
      </c>
      <c r="N87" s="8" t="s">
        <v>319</v>
      </c>
    </row>
    <row r="88" spans="1:14" ht="42" x14ac:dyDescent="0.2">
      <c r="A88" s="2" t="s">
        <v>446</v>
      </c>
      <c r="B88" s="2" t="s">
        <v>442</v>
      </c>
      <c r="C88" s="2" t="s">
        <v>443</v>
      </c>
      <c r="D88" s="2" t="s">
        <v>447</v>
      </c>
      <c r="E88" s="2" t="s">
        <v>17</v>
      </c>
      <c r="F88" s="2" t="s">
        <v>120</v>
      </c>
      <c r="G88" s="6" t="s">
        <v>448</v>
      </c>
      <c r="H88" s="27">
        <v>379720</v>
      </c>
      <c r="I88" s="3">
        <v>446500</v>
      </c>
      <c r="J88" s="2" t="s">
        <v>19</v>
      </c>
      <c r="K88" s="2" t="s">
        <v>20</v>
      </c>
      <c r="L88" s="2" t="s">
        <v>449</v>
      </c>
      <c r="M88" s="2">
        <v>1</v>
      </c>
      <c r="N88" s="2" t="s">
        <v>319</v>
      </c>
    </row>
    <row r="89" spans="1:14" ht="84" x14ac:dyDescent="0.2">
      <c r="A89" s="2" t="s">
        <v>450</v>
      </c>
      <c r="B89" s="2" t="s">
        <v>451</v>
      </c>
      <c r="C89" s="2" t="s">
        <v>452</v>
      </c>
      <c r="D89" s="2" t="s">
        <v>453</v>
      </c>
      <c r="E89" s="2" t="s">
        <v>17</v>
      </c>
      <c r="F89" s="2" t="s">
        <v>18</v>
      </c>
      <c r="G89" s="6" t="s">
        <v>454</v>
      </c>
      <c r="H89" s="27">
        <v>230325</v>
      </c>
      <c r="I89" s="3">
        <v>277500</v>
      </c>
      <c r="J89" s="2" t="s">
        <v>19</v>
      </c>
      <c r="K89" s="2" t="s">
        <v>20</v>
      </c>
      <c r="L89" s="2" t="s">
        <v>455</v>
      </c>
      <c r="M89" s="2">
        <v>1</v>
      </c>
      <c r="N89" s="2"/>
    </row>
    <row r="90" spans="1:14" ht="84" x14ac:dyDescent="0.2">
      <c r="A90" s="2" t="s">
        <v>456</v>
      </c>
      <c r="B90" s="2" t="s">
        <v>457</v>
      </c>
      <c r="C90" s="2" t="s">
        <v>458</v>
      </c>
      <c r="D90" s="2" t="s">
        <v>459</v>
      </c>
      <c r="E90" s="2" t="s">
        <v>17</v>
      </c>
      <c r="F90" s="2" t="s">
        <v>55</v>
      </c>
      <c r="G90" s="6" t="s">
        <v>460</v>
      </c>
      <c r="H90" s="27">
        <v>412050</v>
      </c>
      <c r="I90" s="3">
        <v>522500</v>
      </c>
      <c r="J90" s="2" t="s">
        <v>19</v>
      </c>
      <c r="K90" s="2" t="s">
        <v>20</v>
      </c>
      <c r="L90" s="2" t="s">
        <v>461</v>
      </c>
      <c r="M90" s="2">
        <v>1</v>
      </c>
      <c r="N90" s="2"/>
    </row>
    <row r="91" spans="1:14" x14ac:dyDescent="0.2">
      <c r="A91" s="2" t="s">
        <v>462</v>
      </c>
      <c r="B91" s="2" t="s">
        <v>463</v>
      </c>
      <c r="C91" s="2" t="s">
        <v>464</v>
      </c>
      <c r="D91" s="2" t="s">
        <v>465</v>
      </c>
      <c r="E91" s="2" t="s">
        <v>17</v>
      </c>
      <c r="F91" s="2" t="s">
        <v>55</v>
      </c>
      <c r="G91" s="2"/>
      <c r="H91" s="27">
        <v>328391</v>
      </c>
      <c r="I91" s="3">
        <v>522500</v>
      </c>
      <c r="J91" s="2" t="s">
        <v>19</v>
      </c>
      <c r="K91" s="2" t="s">
        <v>20</v>
      </c>
      <c r="L91" s="2" t="s">
        <v>466</v>
      </c>
      <c r="M91" s="2">
        <v>1</v>
      </c>
      <c r="N91" s="2"/>
    </row>
    <row r="92" spans="1:14" x14ac:dyDescent="0.2">
      <c r="A92" s="2" t="s">
        <v>467</v>
      </c>
      <c r="B92" s="2" t="s">
        <v>468</v>
      </c>
      <c r="C92" s="2" t="s">
        <v>469</v>
      </c>
      <c r="D92" s="2" t="s">
        <v>470</v>
      </c>
      <c r="E92" s="2" t="s">
        <v>17</v>
      </c>
      <c r="F92" s="2" t="s">
        <v>18</v>
      </c>
      <c r="G92" s="2"/>
      <c r="H92" s="27">
        <v>454000</v>
      </c>
      <c r="I92" s="3">
        <v>587500</v>
      </c>
      <c r="J92" s="2" t="s">
        <v>19</v>
      </c>
      <c r="K92" s="2" t="s">
        <v>20</v>
      </c>
      <c r="L92" s="2" t="s">
        <v>471</v>
      </c>
      <c r="M92" s="2">
        <v>1</v>
      </c>
      <c r="N92" s="2"/>
    </row>
    <row r="93" spans="1:14" x14ac:dyDescent="0.2">
      <c r="A93" s="2" t="s">
        <v>472</v>
      </c>
      <c r="B93" s="2" t="s">
        <v>473</v>
      </c>
      <c r="C93" s="2" t="s">
        <v>474</v>
      </c>
      <c r="D93" s="2" t="s">
        <v>475</v>
      </c>
      <c r="E93" s="2" t="s">
        <v>17</v>
      </c>
      <c r="F93" s="2" t="s">
        <v>18</v>
      </c>
      <c r="G93" s="2"/>
      <c r="H93" s="27">
        <v>377959</v>
      </c>
      <c r="I93" s="3">
        <v>625000</v>
      </c>
      <c r="J93" s="2" t="s">
        <v>19</v>
      </c>
      <c r="K93" s="2" t="s">
        <v>20</v>
      </c>
      <c r="L93" s="2" t="s">
        <v>476</v>
      </c>
      <c r="M93" s="2">
        <v>1</v>
      </c>
      <c r="N93" s="2"/>
    </row>
    <row r="94" spans="1:14" x14ac:dyDescent="0.2">
      <c r="A94" s="8" t="s">
        <v>477</v>
      </c>
      <c r="B94" s="8" t="s">
        <v>478</v>
      </c>
      <c r="C94" s="8" t="s">
        <v>479</v>
      </c>
      <c r="D94" s="8" t="s">
        <v>480</v>
      </c>
      <c r="E94" s="8" t="s">
        <v>116</v>
      </c>
      <c r="F94" s="8" t="s">
        <v>55</v>
      </c>
      <c r="G94" s="8" t="s">
        <v>481</v>
      </c>
      <c r="H94" s="29">
        <v>3271800</v>
      </c>
      <c r="I94" s="9">
        <v>4588500</v>
      </c>
      <c r="J94" s="8" t="s">
        <v>19</v>
      </c>
      <c r="K94" s="8" t="s">
        <v>20</v>
      </c>
      <c r="L94" s="8"/>
      <c r="M94" s="8">
        <v>2</v>
      </c>
      <c r="N94" s="8" t="s">
        <v>319</v>
      </c>
    </row>
    <row r="95" spans="1:14" x14ac:dyDescent="0.2">
      <c r="A95" s="2" t="s">
        <v>482</v>
      </c>
      <c r="B95" s="2" t="s">
        <v>483</v>
      </c>
      <c r="C95" s="2" t="s">
        <v>484</v>
      </c>
      <c r="D95" s="2" t="s">
        <v>485</v>
      </c>
      <c r="E95" s="2" t="s">
        <v>17</v>
      </c>
      <c r="F95" s="2" t="s">
        <v>62</v>
      </c>
      <c r="G95" s="2"/>
      <c r="H95" s="27">
        <v>412050</v>
      </c>
      <c r="I95" s="3">
        <v>522500</v>
      </c>
      <c r="J95" s="2" t="s">
        <v>19</v>
      </c>
      <c r="K95" s="2" t="s">
        <v>20</v>
      </c>
      <c r="L95" s="2" t="s">
        <v>486</v>
      </c>
      <c r="M95" s="2">
        <v>1</v>
      </c>
      <c r="N95" s="2"/>
    </row>
    <row r="96" spans="1:14" x14ac:dyDescent="0.2">
      <c r="A96" s="2" t="s">
        <v>487</v>
      </c>
      <c r="B96" s="2" t="s">
        <v>488</v>
      </c>
      <c r="C96" s="2" t="s">
        <v>484</v>
      </c>
      <c r="D96" s="2" t="s">
        <v>489</v>
      </c>
      <c r="E96" s="2" t="s">
        <v>17</v>
      </c>
      <c r="F96" s="2" t="s">
        <v>18</v>
      </c>
      <c r="G96" s="2"/>
      <c r="H96" s="27">
        <v>330460</v>
      </c>
      <c r="I96" s="3">
        <v>418000</v>
      </c>
      <c r="J96" s="2" t="s">
        <v>19</v>
      </c>
      <c r="K96" s="2" t="s">
        <v>20</v>
      </c>
      <c r="L96" s="2" t="s">
        <v>490</v>
      </c>
      <c r="M96" s="2">
        <v>1</v>
      </c>
      <c r="N96" s="2"/>
    </row>
    <row r="97" spans="1:14" x14ac:dyDescent="0.2">
      <c r="A97" s="2" t="s">
        <v>491</v>
      </c>
      <c r="B97" s="2" t="s">
        <v>478</v>
      </c>
      <c r="C97" s="2" t="s">
        <v>492</v>
      </c>
      <c r="D97" s="2" t="s">
        <v>480</v>
      </c>
      <c r="E97" s="2" t="s">
        <v>17</v>
      </c>
      <c r="F97" s="2" t="s">
        <v>55</v>
      </c>
      <c r="G97" s="2" t="s">
        <v>493</v>
      </c>
      <c r="H97" s="27">
        <v>3271800</v>
      </c>
      <c r="I97" s="3">
        <v>4588500</v>
      </c>
      <c r="J97" s="2" t="s">
        <v>19</v>
      </c>
      <c r="K97" s="2" t="s">
        <v>20</v>
      </c>
      <c r="L97" s="2" t="s">
        <v>494</v>
      </c>
      <c r="M97" s="2">
        <v>2</v>
      </c>
      <c r="N97" s="2" t="s">
        <v>319</v>
      </c>
    </row>
    <row r="98" spans="1:14" x14ac:dyDescent="0.2">
      <c r="A98" s="2" t="s">
        <v>495</v>
      </c>
      <c r="B98" s="2" t="s">
        <v>496</v>
      </c>
      <c r="C98" s="2" t="s">
        <v>485</v>
      </c>
      <c r="D98" s="2" t="s">
        <v>497</v>
      </c>
      <c r="E98" s="2" t="s">
        <v>17</v>
      </c>
      <c r="F98" s="2" t="s">
        <v>44</v>
      </c>
      <c r="G98" s="2"/>
      <c r="H98" s="27">
        <v>0</v>
      </c>
      <c r="I98" s="3"/>
      <c r="J98" s="2" t="s">
        <v>19</v>
      </c>
      <c r="K98" s="2" t="s">
        <v>27</v>
      </c>
      <c r="L98" s="2"/>
      <c r="M98" s="2">
        <v>1</v>
      </c>
      <c r="N98" s="2"/>
    </row>
    <row r="99" spans="1:14" x14ac:dyDescent="0.2">
      <c r="A99" s="2" t="s">
        <v>498</v>
      </c>
      <c r="B99" s="2" t="s">
        <v>499</v>
      </c>
      <c r="C99" s="2" t="s">
        <v>500</v>
      </c>
      <c r="D99" s="2" t="s">
        <v>501</v>
      </c>
      <c r="E99" s="2" t="s">
        <v>17</v>
      </c>
      <c r="F99" s="2" t="s">
        <v>18</v>
      </c>
      <c r="G99" s="2"/>
      <c r="H99" s="27">
        <v>1383000</v>
      </c>
      <c r="I99" s="3">
        <v>1875000</v>
      </c>
      <c r="J99" s="2" t="s">
        <v>19</v>
      </c>
      <c r="K99" s="2" t="s">
        <v>20</v>
      </c>
      <c r="L99" s="2" t="s">
        <v>502</v>
      </c>
      <c r="M99" s="2">
        <v>2</v>
      </c>
      <c r="N99" s="2"/>
    </row>
    <row r="100" spans="1:14" x14ac:dyDescent="0.2">
      <c r="A100" s="8" t="s">
        <v>503</v>
      </c>
      <c r="B100" s="8" t="s">
        <v>504</v>
      </c>
      <c r="C100" s="8" t="s">
        <v>505</v>
      </c>
      <c r="D100" s="8" t="s">
        <v>506</v>
      </c>
      <c r="E100" s="8" t="s">
        <v>116</v>
      </c>
      <c r="F100" s="8" t="s">
        <v>137</v>
      </c>
      <c r="G100" s="8"/>
      <c r="H100" s="29">
        <v>704000</v>
      </c>
      <c r="I100" s="9">
        <v>900000</v>
      </c>
      <c r="J100" s="8" t="s">
        <v>19</v>
      </c>
      <c r="K100" s="8" t="s">
        <v>27</v>
      </c>
      <c r="L100" s="8"/>
      <c r="M100" s="8">
        <v>1</v>
      </c>
      <c r="N100" s="8" t="s">
        <v>319</v>
      </c>
    </row>
    <row r="101" spans="1:14" x14ac:dyDescent="0.2">
      <c r="A101" s="2" t="s">
        <v>507</v>
      </c>
      <c r="B101" s="2" t="s">
        <v>508</v>
      </c>
      <c r="C101" s="2" t="s">
        <v>509</v>
      </c>
      <c r="D101" s="2" t="s">
        <v>510</v>
      </c>
      <c r="E101" s="2" t="s">
        <v>17</v>
      </c>
      <c r="F101" s="2" t="s">
        <v>55</v>
      </c>
      <c r="G101" s="2" t="s">
        <v>511</v>
      </c>
      <c r="H101" s="27">
        <v>573607</v>
      </c>
      <c r="I101" s="3">
        <v>900000</v>
      </c>
      <c r="J101" s="2" t="s">
        <v>19</v>
      </c>
      <c r="K101" s="2" t="s">
        <v>20</v>
      </c>
      <c r="L101" s="2" t="s">
        <v>512</v>
      </c>
      <c r="M101" s="2">
        <v>1</v>
      </c>
      <c r="N101" s="2"/>
    </row>
    <row r="102" spans="1:14" ht="28" x14ac:dyDescent="0.2">
      <c r="A102" s="2" t="s">
        <v>513</v>
      </c>
      <c r="B102" s="2" t="s">
        <v>504</v>
      </c>
      <c r="C102" s="2" t="s">
        <v>509</v>
      </c>
      <c r="D102" s="2" t="s">
        <v>506</v>
      </c>
      <c r="E102" s="2" t="s">
        <v>17</v>
      </c>
      <c r="F102" s="2" t="s">
        <v>55</v>
      </c>
      <c r="G102" s="6" t="s">
        <v>514</v>
      </c>
      <c r="H102" s="27">
        <v>704000</v>
      </c>
      <c r="I102" s="3">
        <v>900000</v>
      </c>
      <c r="J102" s="2" t="s">
        <v>19</v>
      </c>
      <c r="K102" s="2" t="s">
        <v>20</v>
      </c>
      <c r="L102" s="2" t="s">
        <v>515</v>
      </c>
      <c r="M102" s="2">
        <v>1</v>
      </c>
      <c r="N102" s="2" t="s">
        <v>319</v>
      </c>
    </row>
    <row r="103" spans="1:14" x14ac:dyDescent="0.2">
      <c r="A103" s="2" t="s">
        <v>516</v>
      </c>
      <c r="B103" s="2" t="s">
        <v>517</v>
      </c>
      <c r="C103" s="2" t="s">
        <v>518</v>
      </c>
      <c r="D103" s="2" t="s">
        <v>519</v>
      </c>
      <c r="E103" s="2" t="s">
        <v>17</v>
      </c>
      <c r="F103" s="2" t="s">
        <v>55</v>
      </c>
      <c r="G103" s="2" t="s">
        <v>520</v>
      </c>
      <c r="H103" s="27">
        <v>646000</v>
      </c>
      <c r="I103" s="3">
        <v>815600</v>
      </c>
      <c r="J103" s="2" t="s">
        <v>19</v>
      </c>
      <c r="K103" s="2" t="s">
        <v>20</v>
      </c>
      <c r="L103" s="2" t="s">
        <v>521</v>
      </c>
      <c r="M103" s="2">
        <v>1</v>
      </c>
      <c r="N103" s="2"/>
    </row>
    <row r="104" spans="1:14" x14ac:dyDescent="0.2">
      <c r="A104" s="2" t="s">
        <v>522</v>
      </c>
      <c r="B104" s="2" t="s">
        <v>523</v>
      </c>
      <c r="C104" s="2" t="s">
        <v>510</v>
      </c>
      <c r="D104" s="2" t="s">
        <v>524</v>
      </c>
      <c r="E104" s="2" t="s">
        <v>17</v>
      </c>
      <c r="F104" s="2" t="s">
        <v>18</v>
      </c>
      <c r="G104" s="2"/>
      <c r="H104" s="27">
        <v>704000</v>
      </c>
      <c r="I104" s="3">
        <v>900000</v>
      </c>
      <c r="J104" s="2" t="s">
        <v>19</v>
      </c>
      <c r="K104" s="2" t="s">
        <v>20</v>
      </c>
      <c r="L104" s="2" t="s">
        <v>525</v>
      </c>
      <c r="M104" s="2">
        <v>1</v>
      </c>
      <c r="N104" s="2"/>
    </row>
    <row r="105" spans="1:14" x14ac:dyDescent="0.2">
      <c r="A105" s="2" t="s">
        <v>526</v>
      </c>
      <c r="B105" s="2" t="s">
        <v>527</v>
      </c>
      <c r="C105" s="2" t="s">
        <v>528</v>
      </c>
      <c r="D105" s="2" t="s">
        <v>524</v>
      </c>
      <c r="E105" s="2" t="s">
        <v>17</v>
      </c>
      <c r="F105" s="2" t="s">
        <v>18</v>
      </c>
      <c r="G105" s="2"/>
      <c r="H105" s="27">
        <v>752350</v>
      </c>
      <c r="I105" s="3">
        <v>937500</v>
      </c>
      <c r="J105" s="2" t="s">
        <v>19</v>
      </c>
      <c r="K105" s="2" t="s">
        <v>20</v>
      </c>
      <c r="L105" s="2" t="s">
        <v>529</v>
      </c>
      <c r="M105" s="2">
        <v>1</v>
      </c>
      <c r="N105" s="2"/>
    </row>
    <row r="106" spans="1:14" x14ac:dyDescent="0.2">
      <c r="A106" s="8" t="s">
        <v>530</v>
      </c>
      <c r="B106" s="8" t="s">
        <v>531</v>
      </c>
      <c r="C106" s="8" t="s">
        <v>532</v>
      </c>
      <c r="D106" s="8" t="s">
        <v>524</v>
      </c>
      <c r="E106" s="8" t="s">
        <v>116</v>
      </c>
      <c r="F106" s="8" t="s">
        <v>55</v>
      </c>
      <c r="G106" s="8" t="s">
        <v>533</v>
      </c>
      <c r="H106" s="29">
        <v>3333150</v>
      </c>
      <c r="I106" s="9">
        <v>4290000</v>
      </c>
      <c r="J106" s="8" t="s">
        <v>19</v>
      </c>
      <c r="K106" s="8" t="s">
        <v>20</v>
      </c>
      <c r="L106" s="8"/>
      <c r="M106" s="8">
        <v>2</v>
      </c>
      <c r="N106" s="8" t="s">
        <v>319</v>
      </c>
    </row>
    <row r="107" spans="1:14" x14ac:dyDescent="0.2">
      <c r="A107" s="8" t="s">
        <v>534</v>
      </c>
      <c r="B107" s="8" t="s">
        <v>531</v>
      </c>
      <c r="C107" s="8" t="s">
        <v>535</v>
      </c>
      <c r="D107" s="8" t="s">
        <v>524</v>
      </c>
      <c r="E107" s="8" t="s">
        <v>116</v>
      </c>
      <c r="F107" s="8" t="s">
        <v>55</v>
      </c>
      <c r="G107" s="8" t="s">
        <v>536</v>
      </c>
      <c r="H107" s="29">
        <v>3333150</v>
      </c>
      <c r="I107" s="9">
        <v>4290000</v>
      </c>
      <c r="J107" s="8" t="s">
        <v>19</v>
      </c>
      <c r="K107" s="8" t="s">
        <v>20</v>
      </c>
      <c r="L107" s="8"/>
      <c r="M107" s="8">
        <v>2</v>
      </c>
      <c r="N107" s="8" t="s">
        <v>319</v>
      </c>
    </row>
    <row r="108" spans="1:14" x14ac:dyDescent="0.2">
      <c r="A108" s="2" t="s">
        <v>537</v>
      </c>
      <c r="B108" s="2" t="s">
        <v>538</v>
      </c>
      <c r="C108" s="2" t="s">
        <v>539</v>
      </c>
      <c r="D108" s="2" t="s">
        <v>540</v>
      </c>
      <c r="E108" s="2" t="s">
        <v>17</v>
      </c>
      <c r="F108" s="2" t="s">
        <v>26</v>
      </c>
      <c r="G108" s="2"/>
      <c r="H108" s="27">
        <v>415800</v>
      </c>
      <c r="I108" s="3">
        <v>495000</v>
      </c>
      <c r="J108" s="2" t="s">
        <v>19</v>
      </c>
      <c r="K108" s="2" t="s">
        <v>27</v>
      </c>
      <c r="L108" s="2"/>
      <c r="M108" s="2">
        <v>1</v>
      </c>
      <c r="N108" s="2"/>
    </row>
    <row r="109" spans="1:14" x14ac:dyDescent="0.2">
      <c r="A109" s="2" t="s">
        <v>541</v>
      </c>
      <c r="B109" s="2" t="s">
        <v>542</v>
      </c>
      <c r="C109" s="2" t="s">
        <v>539</v>
      </c>
      <c r="D109" s="2" t="s">
        <v>540</v>
      </c>
      <c r="E109" s="2" t="s">
        <v>17</v>
      </c>
      <c r="F109" s="2" t="s">
        <v>26</v>
      </c>
      <c r="G109" s="2"/>
      <c r="H109" s="27">
        <v>362208</v>
      </c>
      <c r="I109" s="3">
        <v>449700</v>
      </c>
      <c r="J109" s="2" t="s">
        <v>19</v>
      </c>
      <c r="K109" s="2" t="s">
        <v>27</v>
      </c>
      <c r="L109" s="2"/>
      <c r="M109" s="2">
        <v>1</v>
      </c>
      <c r="N109" s="2"/>
    </row>
    <row r="110" spans="1:14" x14ac:dyDescent="0.2">
      <c r="A110" s="2" t="s">
        <v>543</v>
      </c>
      <c r="B110" s="2" t="s">
        <v>544</v>
      </c>
      <c r="C110" s="2" t="s">
        <v>540</v>
      </c>
      <c r="D110" s="2" t="s">
        <v>545</v>
      </c>
      <c r="E110" s="2" t="s">
        <v>17</v>
      </c>
      <c r="F110" s="2" t="s">
        <v>18</v>
      </c>
      <c r="G110" s="2"/>
      <c r="H110" s="27">
        <v>280560</v>
      </c>
      <c r="I110" s="3">
        <v>3300000</v>
      </c>
      <c r="J110" s="2" t="s">
        <v>19</v>
      </c>
      <c r="K110" s="2" t="s">
        <v>20</v>
      </c>
      <c r="L110" s="2" t="s">
        <v>546</v>
      </c>
      <c r="M110" s="2">
        <v>4</v>
      </c>
      <c r="N110" s="2"/>
    </row>
    <row r="111" spans="1:14" x14ac:dyDescent="0.2">
      <c r="A111" s="2" t="s">
        <v>547</v>
      </c>
      <c r="B111" s="2" t="s">
        <v>548</v>
      </c>
      <c r="C111" s="2" t="s">
        <v>549</v>
      </c>
      <c r="D111" s="2" t="s">
        <v>550</v>
      </c>
      <c r="E111" s="2" t="s">
        <v>551</v>
      </c>
      <c r="F111" s="2" t="s">
        <v>55</v>
      </c>
      <c r="G111" s="2" t="s">
        <v>552</v>
      </c>
      <c r="H111" s="27">
        <v>428045</v>
      </c>
      <c r="I111" s="3">
        <v>726750</v>
      </c>
      <c r="J111" s="2" t="s">
        <v>19</v>
      </c>
      <c r="K111" s="2" t="s">
        <v>20</v>
      </c>
      <c r="L111" s="2" t="s">
        <v>553</v>
      </c>
      <c r="M111" s="2">
        <v>1</v>
      </c>
      <c r="N111" s="2"/>
    </row>
    <row r="112" spans="1:14" x14ac:dyDescent="0.2">
      <c r="G112" s="11" t="s">
        <v>554</v>
      </c>
      <c r="H112" s="30">
        <f>SUM(H2:H111)</f>
        <v>92410911</v>
      </c>
      <c r="M112" s="13">
        <f>SUM(M2:M111)</f>
        <v>128</v>
      </c>
    </row>
    <row r="114" spans="1:14" ht="20" customHeight="1" x14ac:dyDescent="0.2">
      <c r="A114" s="23" t="s">
        <v>555</v>
      </c>
      <c r="B114" s="24"/>
      <c r="C114" s="24"/>
      <c r="D114" s="24"/>
      <c r="E114" s="24"/>
      <c r="F114" s="24"/>
      <c r="G114" s="24"/>
      <c r="H114" s="24"/>
      <c r="I114" s="24"/>
      <c r="J114" s="24"/>
      <c r="K114" s="24"/>
      <c r="L114" s="24"/>
      <c r="M114" s="24"/>
      <c r="N114" s="24"/>
    </row>
    <row r="115" spans="1:14" ht="30" customHeight="1" x14ac:dyDescent="0.2">
      <c r="A115" s="25" t="s">
        <v>556</v>
      </c>
      <c r="B115" s="24"/>
      <c r="C115" s="24"/>
      <c r="D115" s="24"/>
      <c r="E115" s="24"/>
      <c r="F115" s="24"/>
      <c r="G115" s="24"/>
      <c r="H115" s="24"/>
      <c r="I115" s="24"/>
      <c r="J115" s="24"/>
      <c r="K115" s="24"/>
      <c r="L115" s="24"/>
      <c r="M115" s="24"/>
      <c r="N115" s="24"/>
    </row>
    <row r="116" spans="1:14" ht="30" customHeight="1" x14ac:dyDescent="0.2">
      <c r="A116" s="25" t="s">
        <v>557</v>
      </c>
      <c r="B116" s="24"/>
      <c r="C116" s="24"/>
      <c r="D116" s="24"/>
      <c r="E116" s="24"/>
      <c r="F116" s="24"/>
      <c r="G116" s="24"/>
      <c r="H116" s="24"/>
      <c r="I116" s="24"/>
      <c r="J116" s="24"/>
      <c r="K116" s="24"/>
      <c r="L116" s="24"/>
      <c r="M116" s="24"/>
      <c r="N116" s="24"/>
    </row>
    <row r="117" spans="1:14" ht="30" customHeight="1" x14ac:dyDescent="0.2">
      <c r="A117" s="25" t="s">
        <v>558</v>
      </c>
      <c r="B117" s="24"/>
      <c r="C117" s="24"/>
      <c r="D117" s="24"/>
      <c r="E117" s="24"/>
      <c r="F117" s="24"/>
      <c r="G117" s="24"/>
      <c r="H117" s="24"/>
      <c r="I117" s="24"/>
      <c r="J117" s="24"/>
      <c r="K117" s="24"/>
      <c r="L117" s="24"/>
      <c r="M117" s="24"/>
      <c r="N117" s="24"/>
    </row>
    <row r="118" spans="1:14" ht="30" customHeight="1" x14ac:dyDescent="0.2">
      <c r="A118" s="25" t="s">
        <v>559</v>
      </c>
      <c r="B118" s="24"/>
      <c r="C118" s="24"/>
      <c r="D118" s="24"/>
      <c r="E118" s="24"/>
      <c r="F118" s="24"/>
      <c r="G118" s="24"/>
      <c r="H118" s="24"/>
      <c r="I118" s="24"/>
      <c r="J118" s="24"/>
      <c r="K118" s="24"/>
      <c r="L118" s="24"/>
      <c r="M118" s="24"/>
      <c r="N118" s="24"/>
    </row>
    <row r="119" spans="1:14" ht="30" customHeight="1" x14ac:dyDescent="0.2">
      <c r="A119" s="25" t="s">
        <v>560</v>
      </c>
      <c r="B119" s="24"/>
      <c r="C119" s="24"/>
      <c r="D119" s="24"/>
      <c r="E119" s="24"/>
      <c r="F119" s="24"/>
      <c r="G119" s="24"/>
      <c r="H119" s="24"/>
      <c r="I119" s="24"/>
      <c r="J119" s="24"/>
      <c r="K119" s="24"/>
      <c r="L119" s="24"/>
      <c r="M119" s="24"/>
      <c r="N119" s="24"/>
    </row>
  </sheetData>
  <mergeCells count="6">
    <mergeCell ref="A114:N114"/>
    <mergeCell ref="A115:N115"/>
    <mergeCell ref="A117:N117"/>
    <mergeCell ref="A119:N119"/>
    <mergeCell ref="A116:N116"/>
    <mergeCell ref="A118:N1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3"/>
  <sheetViews>
    <sheetView workbookViewId="0">
      <pane ySplit="1" topLeftCell="A111" activePane="bottomLeft" state="frozen"/>
      <selection pane="bottomLeft" activeCell="A133" sqref="A133:L133"/>
    </sheetView>
  </sheetViews>
  <sheetFormatPr baseColWidth="10" defaultColWidth="8.83203125" defaultRowHeight="15" x14ac:dyDescent="0.2"/>
  <cols>
    <col min="1" max="1" width="19" customWidth="1"/>
    <col min="2" max="2" width="17" customWidth="1"/>
    <col min="3" max="3" width="13" customWidth="1"/>
    <col min="4" max="4" width="7" customWidth="1"/>
    <col min="5" max="5" width="16" customWidth="1"/>
    <col min="6" max="6" width="12" customWidth="1"/>
    <col min="7" max="7" width="50" customWidth="1"/>
    <col min="8" max="8" width="12" customWidth="1"/>
    <col min="9" max="9" width="14" customWidth="1"/>
    <col min="10" max="11" width="15" customWidth="1"/>
    <col min="12" max="12" width="16" customWidth="1"/>
  </cols>
  <sheetData>
    <row r="1" spans="1:12" ht="34" customHeight="1" x14ac:dyDescent="0.2">
      <c r="A1" s="1" t="s">
        <v>0</v>
      </c>
      <c r="B1" s="1" t="s">
        <v>1</v>
      </c>
      <c r="C1" s="1" t="s">
        <v>561</v>
      </c>
      <c r="D1" s="1" t="s">
        <v>562</v>
      </c>
      <c r="E1" s="1" t="s">
        <v>563</v>
      </c>
      <c r="F1" s="1" t="s">
        <v>564</v>
      </c>
      <c r="G1" s="1" t="s">
        <v>565</v>
      </c>
      <c r="H1" s="1" t="s">
        <v>566</v>
      </c>
      <c r="I1" s="1" t="s">
        <v>567</v>
      </c>
      <c r="J1" s="1" t="s">
        <v>568</v>
      </c>
      <c r="K1" s="1" t="s">
        <v>569</v>
      </c>
      <c r="L1" s="1" t="s">
        <v>570</v>
      </c>
    </row>
    <row r="2" spans="1:12" ht="28" x14ac:dyDescent="0.2">
      <c r="A2" s="2" t="s">
        <v>14</v>
      </c>
      <c r="B2" s="2" t="s">
        <v>15</v>
      </c>
      <c r="C2" s="2" t="s">
        <v>17</v>
      </c>
      <c r="D2" s="2">
        <v>0</v>
      </c>
      <c r="E2" s="2" t="s">
        <v>571</v>
      </c>
      <c r="F2" s="2" t="s">
        <v>572</v>
      </c>
      <c r="G2" s="6" t="s">
        <v>573</v>
      </c>
      <c r="H2" s="2">
        <v>1</v>
      </c>
      <c r="I2" s="3">
        <v>363000</v>
      </c>
      <c r="J2" s="3">
        <f t="shared" ref="J2:J33" si="0">H2*I2</f>
        <v>363000</v>
      </c>
      <c r="K2" s="2">
        <v>29223771581</v>
      </c>
      <c r="L2" s="2">
        <v>242485519088</v>
      </c>
    </row>
    <row r="3" spans="1:12" ht="28" x14ac:dyDescent="0.2">
      <c r="A3" s="2" t="s">
        <v>22</v>
      </c>
      <c r="B3" s="2" t="s">
        <v>23</v>
      </c>
      <c r="C3" s="2" t="s">
        <v>17</v>
      </c>
      <c r="D3" s="2">
        <v>0</v>
      </c>
      <c r="E3" s="2" t="s">
        <v>574</v>
      </c>
      <c r="F3" s="2" t="s">
        <v>575</v>
      </c>
      <c r="G3" s="6" t="s">
        <v>576</v>
      </c>
      <c r="H3" s="2">
        <v>1</v>
      </c>
      <c r="I3" s="3">
        <v>268000</v>
      </c>
      <c r="J3" s="3">
        <f t="shared" si="0"/>
        <v>268000</v>
      </c>
      <c r="K3" s="2">
        <v>26173587570</v>
      </c>
      <c r="L3" s="2">
        <v>205724064136</v>
      </c>
    </row>
    <row r="4" spans="1:12" ht="28" x14ac:dyDescent="0.2">
      <c r="A4" s="2" t="s">
        <v>22</v>
      </c>
      <c r="B4" s="2" t="s">
        <v>23</v>
      </c>
      <c r="C4" s="2" t="s">
        <v>17</v>
      </c>
      <c r="D4" s="2">
        <v>1</v>
      </c>
      <c r="E4" s="2" t="s">
        <v>577</v>
      </c>
      <c r="F4" s="2" t="s">
        <v>578</v>
      </c>
      <c r="G4" s="6" t="s">
        <v>579</v>
      </c>
      <c r="H4" s="2">
        <v>1</v>
      </c>
      <c r="I4" s="3">
        <v>330000</v>
      </c>
      <c r="J4" s="3">
        <f t="shared" si="0"/>
        <v>330000</v>
      </c>
      <c r="K4" s="2">
        <v>27423542168</v>
      </c>
      <c r="L4" s="2">
        <v>252469364681</v>
      </c>
    </row>
    <row r="5" spans="1:12" ht="28" x14ac:dyDescent="0.2">
      <c r="A5" s="2" t="s">
        <v>28</v>
      </c>
      <c r="B5" s="2" t="s">
        <v>29</v>
      </c>
      <c r="C5" s="2" t="s">
        <v>17</v>
      </c>
      <c r="D5" s="2">
        <v>0</v>
      </c>
      <c r="E5" s="2" t="s">
        <v>577</v>
      </c>
      <c r="F5" s="2" t="s">
        <v>578</v>
      </c>
      <c r="G5" s="6" t="s">
        <v>580</v>
      </c>
      <c r="H5" s="2">
        <v>1</v>
      </c>
      <c r="I5" s="3">
        <v>760000</v>
      </c>
      <c r="J5" s="3">
        <f t="shared" si="0"/>
        <v>760000</v>
      </c>
      <c r="K5" s="2">
        <v>27423542168</v>
      </c>
      <c r="L5" s="2">
        <v>252469364681</v>
      </c>
    </row>
    <row r="6" spans="1:12" ht="28" x14ac:dyDescent="0.2">
      <c r="A6" s="4" t="s">
        <v>33</v>
      </c>
      <c r="B6" s="4" t="s">
        <v>34</v>
      </c>
      <c r="C6" s="4" t="s">
        <v>37</v>
      </c>
      <c r="D6" s="4">
        <v>0</v>
      </c>
      <c r="E6" s="4" t="s">
        <v>581</v>
      </c>
      <c r="F6" s="4" t="s">
        <v>582</v>
      </c>
      <c r="G6" s="7" t="s">
        <v>583</v>
      </c>
      <c r="H6" s="4">
        <v>1</v>
      </c>
      <c r="I6" s="5">
        <v>269000</v>
      </c>
      <c r="J6" s="5">
        <f t="shared" si="0"/>
        <v>269000</v>
      </c>
      <c r="K6" s="4">
        <v>27781026451</v>
      </c>
      <c r="L6" s="4">
        <v>128273211360</v>
      </c>
    </row>
    <row r="7" spans="1:12" ht="28" x14ac:dyDescent="0.2">
      <c r="A7" s="2" t="s">
        <v>40</v>
      </c>
      <c r="B7" s="2" t="s">
        <v>41</v>
      </c>
      <c r="C7" s="2" t="s">
        <v>17</v>
      </c>
      <c r="D7" s="2">
        <v>0</v>
      </c>
      <c r="E7" s="2" t="s">
        <v>584</v>
      </c>
      <c r="F7" s="2" t="s">
        <v>572</v>
      </c>
      <c r="G7" s="6" t="s">
        <v>585</v>
      </c>
      <c r="H7" s="2">
        <v>1</v>
      </c>
      <c r="I7" s="3">
        <v>478800</v>
      </c>
      <c r="J7" s="3">
        <f t="shared" si="0"/>
        <v>478800</v>
      </c>
      <c r="K7" s="2">
        <v>29223771581</v>
      </c>
      <c r="L7" s="2">
        <v>242485519090</v>
      </c>
    </row>
    <row r="8" spans="1:12" ht="28" x14ac:dyDescent="0.2">
      <c r="A8" s="2" t="s">
        <v>45</v>
      </c>
      <c r="B8" s="2" t="s">
        <v>46</v>
      </c>
      <c r="C8" s="2" t="s">
        <v>17</v>
      </c>
      <c r="D8" s="2">
        <v>0</v>
      </c>
      <c r="E8" s="2" t="s">
        <v>586</v>
      </c>
      <c r="F8" s="2" t="s">
        <v>572</v>
      </c>
      <c r="G8" s="6" t="s">
        <v>585</v>
      </c>
      <c r="H8" s="2">
        <v>1</v>
      </c>
      <c r="I8" s="3">
        <v>478800</v>
      </c>
      <c r="J8" s="3">
        <f t="shared" si="0"/>
        <v>478800</v>
      </c>
      <c r="K8" s="2">
        <v>29223771581</v>
      </c>
      <c r="L8" s="2">
        <v>237283943594</v>
      </c>
    </row>
    <row r="9" spans="1:12" ht="28" x14ac:dyDescent="0.2">
      <c r="A9" s="2" t="s">
        <v>50</v>
      </c>
      <c r="B9" s="2" t="s">
        <v>51</v>
      </c>
      <c r="C9" s="2" t="s">
        <v>17</v>
      </c>
      <c r="D9" s="2">
        <v>0</v>
      </c>
      <c r="E9" s="2" t="s">
        <v>587</v>
      </c>
      <c r="F9" s="2" t="s">
        <v>575</v>
      </c>
      <c r="G9" s="6" t="s">
        <v>588</v>
      </c>
      <c r="H9" s="2">
        <v>1</v>
      </c>
      <c r="I9" s="3">
        <v>360000</v>
      </c>
      <c r="J9" s="3">
        <f t="shared" si="0"/>
        <v>360000</v>
      </c>
      <c r="K9" s="2">
        <v>26173587570</v>
      </c>
      <c r="L9" s="2">
        <v>205724064135</v>
      </c>
    </row>
    <row r="10" spans="1:12" ht="28" x14ac:dyDescent="0.2">
      <c r="A10" s="2" t="s">
        <v>53</v>
      </c>
      <c r="B10" s="2" t="s">
        <v>54</v>
      </c>
      <c r="C10" s="2" t="s">
        <v>17</v>
      </c>
      <c r="D10" s="2">
        <v>0</v>
      </c>
      <c r="E10" s="2" t="s">
        <v>581</v>
      </c>
      <c r="F10" s="2" t="s">
        <v>582</v>
      </c>
      <c r="G10" s="6" t="s">
        <v>589</v>
      </c>
      <c r="H10" s="2">
        <v>1</v>
      </c>
      <c r="I10" s="3">
        <v>419000</v>
      </c>
      <c r="J10" s="3">
        <f t="shared" si="0"/>
        <v>419000</v>
      </c>
      <c r="K10" s="2">
        <v>27781026451</v>
      </c>
      <c r="L10" s="2">
        <v>128273211360</v>
      </c>
    </row>
    <row r="11" spans="1:12" ht="28" x14ac:dyDescent="0.2">
      <c r="A11" s="2" t="s">
        <v>58</v>
      </c>
      <c r="B11" s="2" t="s">
        <v>59</v>
      </c>
      <c r="C11" s="2" t="s">
        <v>17</v>
      </c>
      <c r="D11" s="2">
        <v>0</v>
      </c>
      <c r="E11" s="2" t="s">
        <v>571</v>
      </c>
      <c r="F11" s="2" t="s">
        <v>572</v>
      </c>
      <c r="G11" s="6" t="s">
        <v>585</v>
      </c>
      <c r="H11" s="2">
        <v>1</v>
      </c>
      <c r="I11" s="3">
        <v>420000</v>
      </c>
      <c r="J11" s="3">
        <f t="shared" si="0"/>
        <v>420000</v>
      </c>
      <c r="K11" s="2">
        <v>29223771581</v>
      </c>
      <c r="L11" s="2">
        <v>242485519088</v>
      </c>
    </row>
    <row r="12" spans="1:12" ht="28" x14ac:dyDescent="0.2">
      <c r="A12" s="2" t="s">
        <v>65</v>
      </c>
      <c r="B12" s="2" t="s">
        <v>66</v>
      </c>
      <c r="C12" s="2" t="s">
        <v>17</v>
      </c>
      <c r="D12" s="2">
        <v>0</v>
      </c>
      <c r="E12" s="2" t="s">
        <v>584</v>
      </c>
      <c r="F12" s="2" t="s">
        <v>572</v>
      </c>
      <c r="G12" s="6" t="s">
        <v>585</v>
      </c>
      <c r="H12" s="2">
        <v>1</v>
      </c>
      <c r="I12" s="3">
        <v>450300</v>
      </c>
      <c r="J12" s="3">
        <f t="shared" si="0"/>
        <v>450300</v>
      </c>
      <c r="K12" s="2">
        <v>29223771581</v>
      </c>
      <c r="L12" s="2">
        <v>242485519090</v>
      </c>
    </row>
    <row r="13" spans="1:12" ht="28" x14ac:dyDescent="0.2">
      <c r="A13" s="4" t="s">
        <v>70</v>
      </c>
      <c r="B13" s="4" t="s">
        <v>71</v>
      </c>
      <c r="C13" s="4" t="s">
        <v>37</v>
      </c>
      <c r="D13" s="4">
        <v>0</v>
      </c>
      <c r="E13" s="4" t="s">
        <v>590</v>
      </c>
      <c r="F13" s="4" t="s">
        <v>582</v>
      </c>
      <c r="G13" s="7" t="s">
        <v>591</v>
      </c>
      <c r="H13" s="4">
        <v>1</v>
      </c>
      <c r="I13" s="5">
        <v>389000</v>
      </c>
      <c r="J13" s="5">
        <f t="shared" si="0"/>
        <v>389000</v>
      </c>
      <c r="K13" s="4">
        <v>27781026451</v>
      </c>
      <c r="L13" s="4">
        <v>129300387924</v>
      </c>
    </row>
    <row r="14" spans="1:12" ht="28" x14ac:dyDescent="0.2">
      <c r="A14" s="2" t="s">
        <v>76</v>
      </c>
      <c r="B14" s="2" t="s">
        <v>77</v>
      </c>
      <c r="C14" s="2" t="s">
        <v>17</v>
      </c>
      <c r="D14" s="2">
        <v>0</v>
      </c>
      <c r="E14" s="2" t="s">
        <v>584</v>
      </c>
      <c r="F14" s="2" t="s">
        <v>572</v>
      </c>
      <c r="G14" s="6" t="s">
        <v>585</v>
      </c>
      <c r="H14" s="2">
        <v>1</v>
      </c>
      <c r="I14" s="3">
        <v>450300</v>
      </c>
      <c r="J14" s="3">
        <f t="shared" si="0"/>
        <v>450300</v>
      </c>
      <c r="K14" s="2">
        <v>29223771581</v>
      </c>
      <c r="L14" s="2">
        <v>242485519090</v>
      </c>
    </row>
    <row r="15" spans="1:12" ht="28" x14ac:dyDescent="0.2">
      <c r="A15" s="2" t="s">
        <v>82</v>
      </c>
      <c r="B15" s="2" t="s">
        <v>83</v>
      </c>
      <c r="C15" s="2" t="s">
        <v>17</v>
      </c>
      <c r="D15" s="2">
        <v>0</v>
      </c>
      <c r="E15" s="2" t="s">
        <v>590</v>
      </c>
      <c r="F15" s="2" t="s">
        <v>582</v>
      </c>
      <c r="G15" s="6" t="s">
        <v>591</v>
      </c>
      <c r="H15" s="2">
        <v>2</v>
      </c>
      <c r="I15" s="3">
        <v>306600</v>
      </c>
      <c r="J15" s="3">
        <f t="shared" si="0"/>
        <v>613200</v>
      </c>
      <c r="K15" s="2">
        <v>27781026451</v>
      </c>
      <c r="L15" s="2">
        <v>129300387924</v>
      </c>
    </row>
    <row r="16" spans="1:12" ht="28" x14ac:dyDescent="0.2">
      <c r="A16" s="2" t="s">
        <v>86</v>
      </c>
      <c r="B16" s="2" t="s">
        <v>87</v>
      </c>
      <c r="C16" s="2" t="s">
        <v>17</v>
      </c>
      <c r="D16" s="2">
        <v>0</v>
      </c>
      <c r="E16" s="2" t="s">
        <v>590</v>
      </c>
      <c r="F16" s="2" t="s">
        <v>582</v>
      </c>
      <c r="G16" s="6" t="s">
        <v>591</v>
      </c>
      <c r="H16" s="2">
        <v>1</v>
      </c>
      <c r="I16" s="3">
        <v>389000</v>
      </c>
      <c r="J16" s="3">
        <f t="shared" si="0"/>
        <v>389000</v>
      </c>
      <c r="K16" s="2">
        <v>27781026451</v>
      </c>
      <c r="L16" s="2">
        <v>129300387924</v>
      </c>
    </row>
    <row r="17" spans="1:12" ht="28" x14ac:dyDescent="0.2">
      <c r="A17" s="4" t="s">
        <v>92</v>
      </c>
      <c r="B17" s="4" t="s">
        <v>93</v>
      </c>
      <c r="C17" s="4" t="s">
        <v>37</v>
      </c>
      <c r="D17" s="4">
        <v>0</v>
      </c>
      <c r="E17" s="4" t="s">
        <v>592</v>
      </c>
      <c r="F17" s="4" t="s">
        <v>572</v>
      </c>
      <c r="G17" s="7" t="s">
        <v>585</v>
      </c>
      <c r="H17" s="4">
        <v>1</v>
      </c>
      <c r="I17" s="5">
        <v>462000</v>
      </c>
      <c r="J17" s="5">
        <f t="shared" si="0"/>
        <v>462000</v>
      </c>
      <c r="K17" s="4">
        <v>29223771581</v>
      </c>
      <c r="L17" s="4">
        <v>237283943592</v>
      </c>
    </row>
    <row r="18" spans="1:12" ht="28" x14ac:dyDescent="0.2">
      <c r="A18" s="2" t="s">
        <v>97</v>
      </c>
      <c r="B18" s="2" t="s">
        <v>98</v>
      </c>
      <c r="C18" s="2" t="s">
        <v>17</v>
      </c>
      <c r="D18" s="2">
        <v>0</v>
      </c>
      <c r="E18" s="2" t="s">
        <v>593</v>
      </c>
      <c r="F18" s="2" t="s">
        <v>575</v>
      </c>
      <c r="G18" s="6" t="s">
        <v>588</v>
      </c>
      <c r="H18" s="2">
        <v>1</v>
      </c>
      <c r="I18" s="3">
        <v>288000</v>
      </c>
      <c r="J18" s="3">
        <f t="shared" si="0"/>
        <v>288000</v>
      </c>
      <c r="K18" s="2">
        <v>26173587570</v>
      </c>
      <c r="L18" s="2">
        <v>205724064137</v>
      </c>
    </row>
    <row r="19" spans="1:12" ht="28" x14ac:dyDescent="0.2">
      <c r="A19" s="2" t="s">
        <v>103</v>
      </c>
      <c r="B19" s="2" t="s">
        <v>104</v>
      </c>
      <c r="C19" s="2" t="s">
        <v>17</v>
      </c>
      <c r="D19" s="2">
        <v>0</v>
      </c>
      <c r="E19" s="2" t="s">
        <v>592</v>
      </c>
      <c r="F19" s="2" t="s">
        <v>572</v>
      </c>
      <c r="G19" s="6" t="s">
        <v>585</v>
      </c>
      <c r="H19" s="2">
        <v>1</v>
      </c>
      <c r="I19" s="3">
        <v>478800</v>
      </c>
      <c r="J19" s="3">
        <f t="shared" si="0"/>
        <v>478800</v>
      </c>
      <c r="K19" s="2">
        <v>29223771581</v>
      </c>
      <c r="L19" s="2">
        <v>237283943592</v>
      </c>
    </row>
    <row r="20" spans="1:12" ht="28" x14ac:dyDescent="0.2">
      <c r="A20" s="2" t="s">
        <v>108</v>
      </c>
      <c r="B20" s="2" t="s">
        <v>109</v>
      </c>
      <c r="C20" s="2" t="s">
        <v>17</v>
      </c>
      <c r="D20" s="2">
        <v>0</v>
      </c>
      <c r="E20" s="2" t="s">
        <v>581</v>
      </c>
      <c r="F20" s="2" t="s">
        <v>582</v>
      </c>
      <c r="G20" s="6" t="s">
        <v>591</v>
      </c>
      <c r="H20" s="2">
        <v>1</v>
      </c>
      <c r="I20" s="3">
        <v>351000</v>
      </c>
      <c r="J20" s="3">
        <f t="shared" si="0"/>
        <v>351000</v>
      </c>
      <c r="K20" s="2">
        <v>27781026451</v>
      </c>
      <c r="L20" s="2">
        <v>128273211360</v>
      </c>
    </row>
    <row r="21" spans="1:12" ht="28" x14ac:dyDescent="0.2">
      <c r="A21" s="8" t="s">
        <v>112</v>
      </c>
      <c r="B21" s="8" t="s">
        <v>113</v>
      </c>
      <c r="C21" s="8" t="s">
        <v>116</v>
      </c>
      <c r="D21" s="8">
        <v>0</v>
      </c>
      <c r="E21" s="8" t="s">
        <v>581</v>
      </c>
      <c r="F21" s="8" t="s">
        <v>582</v>
      </c>
      <c r="G21" s="10" t="s">
        <v>591</v>
      </c>
      <c r="H21" s="8">
        <v>1</v>
      </c>
      <c r="I21" s="9">
        <v>382200</v>
      </c>
      <c r="J21" s="9">
        <f t="shared" si="0"/>
        <v>382200</v>
      </c>
      <c r="K21" s="8">
        <v>27781026451</v>
      </c>
      <c r="L21" s="8">
        <v>128273211360</v>
      </c>
    </row>
    <row r="22" spans="1:12" ht="28" x14ac:dyDescent="0.2">
      <c r="A22" s="8" t="s">
        <v>117</v>
      </c>
      <c r="B22" s="8" t="s">
        <v>118</v>
      </c>
      <c r="C22" s="8" t="s">
        <v>116</v>
      </c>
      <c r="D22" s="8">
        <v>0</v>
      </c>
      <c r="E22" s="8" t="s">
        <v>584</v>
      </c>
      <c r="F22" s="8" t="s">
        <v>572</v>
      </c>
      <c r="G22" s="10" t="s">
        <v>585</v>
      </c>
      <c r="H22" s="8">
        <v>1</v>
      </c>
      <c r="I22" s="9">
        <v>450300</v>
      </c>
      <c r="J22" s="9">
        <f t="shared" si="0"/>
        <v>450300</v>
      </c>
      <c r="K22" s="8">
        <v>29223771581</v>
      </c>
      <c r="L22" s="8">
        <v>242485519090</v>
      </c>
    </row>
    <row r="23" spans="1:12" ht="28" x14ac:dyDescent="0.2">
      <c r="A23" s="2" t="s">
        <v>123</v>
      </c>
      <c r="B23" s="2" t="s">
        <v>124</v>
      </c>
      <c r="C23" s="2" t="s">
        <v>17</v>
      </c>
      <c r="D23" s="2">
        <v>0</v>
      </c>
      <c r="E23" s="2" t="s">
        <v>594</v>
      </c>
      <c r="F23" s="2" t="s">
        <v>595</v>
      </c>
      <c r="G23" s="6" t="s">
        <v>596</v>
      </c>
      <c r="H23" s="2">
        <v>1</v>
      </c>
      <c r="I23" s="3">
        <v>4125000</v>
      </c>
      <c r="J23" s="3">
        <f t="shared" si="0"/>
        <v>4125000</v>
      </c>
      <c r="K23" s="2">
        <v>24893009852</v>
      </c>
      <c r="L23" s="2">
        <v>242969379384</v>
      </c>
    </row>
    <row r="24" spans="1:12" ht="28" x14ac:dyDescent="0.2">
      <c r="A24" s="4" t="s">
        <v>129</v>
      </c>
      <c r="B24" s="4" t="s">
        <v>130</v>
      </c>
      <c r="C24" s="4" t="s">
        <v>37</v>
      </c>
      <c r="D24" s="4">
        <v>0</v>
      </c>
      <c r="E24" s="4" t="s">
        <v>581</v>
      </c>
      <c r="F24" s="4" t="s">
        <v>582</v>
      </c>
      <c r="G24" s="7" t="s">
        <v>591</v>
      </c>
      <c r="H24" s="4">
        <v>1</v>
      </c>
      <c r="I24" s="5">
        <v>366600</v>
      </c>
      <c r="J24" s="5">
        <f t="shared" si="0"/>
        <v>366600</v>
      </c>
      <c r="K24" s="4">
        <v>27781026451</v>
      </c>
      <c r="L24" s="4">
        <v>128273211360</v>
      </c>
    </row>
    <row r="25" spans="1:12" ht="28" x14ac:dyDescent="0.2">
      <c r="A25" s="8" t="s">
        <v>134</v>
      </c>
      <c r="B25" s="8" t="s">
        <v>135</v>
      </c>
      <c r="C25" s="8" t="s">
        <v>116</v>
      </c>
      <c r="D25" s="8">
        <v>0</v>
      </c>
      <c r="E25" s="8" t="s">
        <v>597</v>
      </c>
      <c r="F25" s="8" t="s">
        <v>582</v>
      </c>
      <c r="G25" s="10" t="s">
        <v>591</v>
      </c>
      <c r="H25" s="8">
        <v>1</v>
      </c>
      <c r="I25" s="9">
        <v>348600</v>
      </c>
      <c r="J25" s="9">
        <f t="shared" si="0"/>
        <v>348600</v>
      </c>
      <c r="K25" s="8">
        <v>27781026451</v>
      </c>
      <c r="L25" s="8">
        <v>280402151298</v>
      </c>
    </row>
    <row r="26" spans="1:12" ht="28" x14ac:dyDescent="0.2">
      <c r="A26" s="2" t="s">
        <v>138</v>
      </c>
      <c r="B26" s="2" t="s">
        <v>139</v>
      </c>
      <c r="C26" s="2" t="s">
        <v>17</v>
      </c>
      <c r="D26" s="2">
        <v>0</v>
      </c>
      <c r="E26" s="2" t="s">
        <v>598</v>
      </c>
      <c r="F26" s="2" t="s">
        <v>599</v>
      </c>
      <c r="G26" s="6" t="s">
        <v>600</v>
      </c>
      <c r="H26" s="2">
        <v>1</v>
      </c>
      <c r="I26" s="3">
        <v>885600</v>
      </c>
      <c r="J26" s="3">
        <f t="shared" si="0"/>
        <v>885600</v>
      </c>
      <c r="K26" s="2">
        <v>42956482957</v>
      </c>
      <c r="L26" s="2">
        <v>275544619489</v>
      </c>
    </row>
    <row r="27" spans="1:12" ht="28" x14ac:dyDescent="0.2">
      <c r="A27" s="2" t="s">
        <v>142</v>
      </c>
      <c r="B27" s="2" t="s">
        <v>143</v>
      </c>
      <c r="C27" s="2" t="s">
        <v>17</v>
      </c>
      <c r="D27" s="2">
        <v>0</v>
      </c>
      <c r="E27" s="2" t="s">
        <v>601</v>
      </c>
      <c r="F27" s="2" t="s">
        <v>595</v>
      </c>
      <c r="G27" s="6" t="s">
        <v>596</v>
      </c>
      <c r="H27" s="2">
        <v>1</v>
      </c>
      <c r="I27" s="3">
        <v>2440000</v>
      </c>
      <c r="J27" s="3">
        <f t="shared" si="0"/>
        <v>2440000</v>
      </c>
      <c r="K27" s="2">
        <v>24893009852</v>
      </c>
      <c r="L27" s="2">
        <v>242969379383</v>
      </c>
    </row>
    <row r="28" spans="1:12" ht="28" x14ac:dyDescent="0.2">
      <c r="A28" s="2" t="s">
        <v>142</v>
      </c>
      <c r="B28" s="2" t="s">
        <v>143</v>
      </c>
      <c r="C28" s="2" t="s">
        <v>17</v>
      </c>
      <c r="D28" s="2">
        <v>1</v>
      </c>
      <c r="E28" s="2" t="s">
        <v>602</v>
      </c>
      <c r="F28" s="2" t="s">
        <v>603</v>
      </c>
      <c r="G28" s="6" t="s">
        <v>604</v>
      </c>
      <c r="H28" s="2">
        <v>1</v>
      </c>
      <c r="I28" s="3"/>
      <c r="J28" s="3">
        <f t="shared" si="0"/>
        <v>0</v>
      </c>
      <c r="K28" s="2">
        <v>29183296960</v>
      </c>
      <c r="L28" s="2">
        <v>258170662950</v>
      </c>
    </row>
    <row r="29" spans="1:12" ht="28" x14ac:dyDescent="0.2">
      <c r="A29" s="2" t="s">
        <v>148</v>
      </c>
      <c r="B29" s="2" t="s">
        <v>149</v>
      </c>
      <c r="C29" s="2" t="s">
        <v>17</v>
      </c>
      <c r="D29" s="2">
        <v>0</v>
      </c>
      <c r="E29" s="2" t="s">
        <v>584</v>
      </c>
      <c r="F29" s="2" t="s">
        <v>572</v>
      </c>
      <c r="G29" s="6" t="s">
        <v>585</v>
      </c>
      <c r="H29" s="2">
        <v>1</v>
      </c>
      <c r="I29" s="3">
        <v>450300</v>
      </c>
      <c r="J29" s="3">
        <f t="shared" si="0"/>
        <v>450300</v>
      </c>
      <c r="K29" s="2">
        <v>29223771581</v>
      </c>
      <c r="L29" s="2">
        <v>242485519090</v>
      </c>
    </row>
    <row r="30" spans="1:12" ht="28" x14ac:dyDescent="0.2">
      <c r="A30" s="4" t="s">
        <v>152</v>
      </c>
      <c r="B30" s="4" t="s">
        <v>153</v>
      </c>
      <c r="C30" s="4" t="s">
        <v>37</v>
      </c>
      <c r="D30" s="4">
        <v>0</v>
      </c>
      <c r="E30" s="4" t="s">
        <v>605</v>
      </c>
      <c r="F30" s="4" t="s">
        <v>595</v>
      </c>
      <c r="G30" s="7" t="s">
        <v>596</v>
      </c>
      <c r="H30" s="4">
        <v>1</v>
      </c>
      <c r="I30" s="5">
        <v>2000000</v>
      </c>
      <c r="J30" s="5">
        <f t="shared" si="0"/>
        <v>2000000</v>
      </c>
      <c r="K30" s="4">
        <v>24893009852</v>
      </c>
      <c r="L30" s="4">
        <v>234028495909</v>
      </c>
    </row>
    <row r="31" spans="1:12" ht="28" x14ac:dyDescent="0.2">
      <c r="A31" s="4" t="s">
        <v>152</v>
      </c>
      <c r="B31" s="4" t="s">
        <v>153</v>
      </c>
      <c r="C31" s="4" t="s">
        <v>37</v>
      </c>
      <c r="D31" s="4">
        <v>1</v>
      </c>
      <c r="E31" s="4" t="s">
        <v>602</v>
      </c>
      <c r="F31" s="4" t="s">
        <v>603</v>
      </c>
      <c r="G31" s="7" t="s">
        <v>604</v>
      </c>
      <c r="H31" s="4">
        <v>1</v>
      </c>
      <c r="I31" s="5"/>
      <c r="J31" s="5">
        <f t="shared" si="0"/>
        <v>0</v>
      </c>
      <c r="K31" s="4">
        <v>29183296960</v>
      </c>
      <c r="L31" s="4">
        <v>258170662950</v>
      </c>
    </row>
    <row r="32" spans="1:12" ht="28" x14ac:dyDescent="0.2">
      <c r="A32" s="2" t="s">
        <v>158</v>
      </c>
      <c r="B32" s="2" t="s">
        <v>159</v>
      </c>
      <c r="C32" s="2" t="s">
        <v>17</v>
      </c>
      <c r="D32" s="2">
        <v>0</v>
      </c>
      <c r="E32" s="2" t="s">
        <v>601</v>
      </c>
      <c r="F32" s="2" t="s">
        <v>595</v>
      </c>
      <c r="G32" s="6" t="s">
        <v>596</v>
      </c>
      <c r="H32" s="2">
        <v>1</v>
      </c>
      <c r="I32" s="3">
        <v>2745000</v>
      </c>
      <c r="J32" s="3">
        <f t="shared" si="0"/>
        <v>2745000</v>
      </c>
      <c r="K32" s="2">
        <v>24893009852</v>
      </c>
      <c r="L32" s="2">
        <v>242969379383</v>
      </c>
    </row>
    <row r="33" spans="1:12" ht="28" x14ac:dyDescent="0.2">
      <c r="A33" s="4" t="s">
        <v>164</v>
      </c>
      <c r="B33" s="4" t="s">
        <v>165</v>
      </c>
      <c r="C33" s="4" t="s">
        <v>37</v>
      </c>
      <c r="D33" s="4">
        <v>0</v>
      </c>
      <c r="E33" s="4" t="s">
        <v>606</v>
      </c>
      <c r="F33" s="4" t="s">
        <v>595</v>
      </c>
      <c r="G33" s="7" t="s">
        <v>596</v>
      </c>
      <c r="H33" s="4">
        <v>1</v>
      </c>
      <c r="I33" s="5">
        <v>1800000</v>
      </c>
      <c r="J33" s="5">
        <f t="shared" si="0"/>
        <v>1800000</v>
      </c>
      <c r="K33" s="4">
        <v>24893009852</v>
      </c>
      <c r="L33" s="4">
        <v>234028495908</v>
      </c>
    </row>
    <row r="34" spans="1:12" ht="28" x14ac:dyDescent="0.2">
      <c r="A34" s="8" t="s">
        <v>169</v>
      </c>
      <c r="B34" s="8" t="s">
        <v>170</v>
      </c>
      <c r="C34" s="8" t="s">
        <v>116</v>
      </c>
      <c r="D34" s="8">
        <v>0</v>
      </c>
      <c r="E34" s="8" t="s">
        <v>607</v>
      </c>
      <c r="F34" s="8" t="s">
        <v>599</v>
      </c>
      <c r="G34" s="10" t="s">
        <v>608</v>
      </c>
      <c r="H34" s="8">
        <v>1</v>
      </c>
      <c r="I34" s="9">
        <v>410400</v>
      </c>
      <c r="J34" s="9">
        <f t="shared" ref="J34:J65" si="1">H34*I34</f>
        <v>410400</v>
      </c>
      <c r="K34" s="8">
        <v>42956482957</v>
      </c>
      <c r="L34" s="8">
        <v>275544619482</v>
      </c>
    </row>
    <row r="35" spans="1:12" ht="28" x14ac:dyDescent="0.2">
      <c r="A35" s="4" t="s">
        <v>173</v>
      </c>
      <c r="B35" s="4" t="s">
        <v>174</v>
      </c>
      <c r="C35" s="4" t="s">
        <v>37</v>
      </c>
      <c r="D35" s="4">
        <v>0</v>
      </c>
      <c r="E35" s="4" t="s">
        <v>606</v>
      </c>
      <c r="F35" s="4" t="s">
        <v>595</v>
      </c>
      <c r="G35" s="7" t="s">
        <v>609</v>
      </c>
      <c r="H35" s="4">
        <v>1</v>
      </c>
      <c r="I35" s="5">
        <v>1800000</v>
      </c>
      <c r="J35" s="5">
        <f t="shared" si="1"/>
        <v>1800000</v>
      </c>
      <c r="K35" s="4">
        <v>24893009852</v>
      </c>
      <c r="L35" s="4">
        <v>234028495908</v>
      </c>
    </row>
    <row r="36" spans="1:12" ht="28" x14ac:dyDescent="0.2">
      <c r="A36" s="2" t="s">
        <v>178</v>
      </c>
      <c r="B36" s="2" t="s">
        <v>179</v>
      </c>
      <c r="C36" s="2" t="s">
        <v>17</v>
      </c>
      <c r="D36" s="2">
        <v>0</v>
      </c>
      <c r="E36" s="2" t="s">
        <v>610</v>
      </c>
      <c r="F36" s="2" t="s">
        <v>611</v>
      </c>
      <c r="G36" s="6" t="s">
        <v>612</v>
      </c>
      <c r="H36" s="2">
        <v>1</v>
      </c>
      <c r="I36" s="3">
        <v>864500</v>
      </c>
      <c r="J36" s="3">
        <f t="shared" si="1"/>
        <v>864500</v>
      </c>
      <c r="K36" s="2">
        <v>27276322807</v>
      </c>
      <c r="L36" s="2">
        <v>265560267114</v>
      </c>
    </row>
    <row r="37" spans="1:12" ht="28" x14ac:dyDescent="0.2">
      <c r="A37" s="2" t="s">
        <v>183</v>
      </c>
      <c r="B37" s="2" t="s">
        <v>184</v>
      </c>
      <c r="C37" s="2" t="s">
        <v>17</v>
      </c>
      <c r="D37" s="2">
        <v>0</v>
      </c>
      <c r="E37" s="2" t="s">
        <v>613</v>
      </c>
      <c r="F37" s="2" t="s">
        <v>575</v>
      </c>
      <c r="G37" s="6" t="s">
        <v>588</v>
      </c>
      <c r="H37" s="2">
        <v>1</v>
      </c>
      <c r="I37" s="3">
        <v>396000</v>
      </c>
      <c r="J37" s="3">
        <f t="shared" si="1"/>
        <v>396000</v>
      </c>
      <c r="K37" s="2">
        <v>26173587570</v>
      </c>
      <c r="L37" s="2">
        <v>205724064134</v>
      </c>
    </row>
    <row r="38" spans="1:12" ht="28" x14ac:dyDescent="0.2">
      <c r="A38" s="4" t="s">
        <v>187</v>
      </c>
      <c r="B38" s="4" t="s">
        <v>188</v>
      </c>
      <c r="C38" s="4" t="s">
        <v>37</v>
      </c>
      <c r="D38" s="4">
        <v>0</v>
      </c>
      <c r="E38" s="4" t="s">
        <v>581</v>
      </c>
      <c r="F38" s="4" t="s">
        <v>582</v>
      </c>
      <c r="G38" s="7" t="s">
        <v>614</v>
      </c>
      <c r="H38" s="4">
        <v>1</v>
      </c>
      <c r="I38" s="5">
        <v>419000</v>
      </c>
      <c r="J38" s="5">
        <f t="shared" si="1"/>
        <v>419000</v>
      </c>
      <c r="K38" s="4">
        <v>27781026451</v>
      </c>
      <c r="L38" s="4">
        <v>128273211360</v>
      </c>
    </row>
    <row r="39" spans="1:12" ht="28" x14ac:dyDescent="0.2">
      <c r="A39" s="2" t="s">
        <v>192</v>
      </c>
      <c r="B39" s="2" t="s">
        <v>193</v>
      </c>
      <c r="C39" s="2" t="s">
        <v>17</v>
      </c>
      <c r="D39" s="2">
        <v>0</v>
      </c>
      <c r="E39" s="2" t="s">
        <v>610</v>
      </c>
      <c r="F39" s="2" t="s">
        <v>611</v>
      </c>
      <c r="G39" s="6" t="s">
        <v>612</v>
      </c>
      <c r="H39" s="2">
        <v>1</v>
      </c>
      <c r="I39" s="3">
        <v>1064000</v>
      </c>
      <c r="J39" s="3">
        <f t="shared" si="1"/>
        <v>1064000</v>
      </c>
      <c r="K39" s="2">
        <v>27276322807</v>
      </c>
      <c r="L39" s="2">
        <v>265560267114</v>
      </c>
    </row>
    <row r="40" spans="1:12" ht="28" x14ac:dyDescent="0.2">
      <c r="A40" s="2" t="s">
        <v>196</v>
      </c>
      <c r="B40" s="2" t="s">
        <v>197</v>
      </c>
      <c r="C40" s="2" t="s">
        <v>17</v>
      </c>
      <c r="D40" s="2">
        <v>0</v>
      </c>
      <c r="E40" s="2" t="s">
        <v>615</v>
      </c>
      <c r="F40" s="2" t="s">
        <v>572</v>
      </c>
      <c r="G40" s="6" t="s">
        <v>585</v>
      </c>
      <c r="H40" s="2">
        <v>1</v>
      </c>
      <c r="I40" s="3">
        <v>495000</v>
      </c>
      <c r="J40" s="3">
        <f t="shared" si="1"/>
        <v>495000</v>
      </c>
      <c r="K40" s="2">
        <v>29223771581</v>
      </c>
      <c r="L40" s="2">
        <v>286224202982</v>
      </c>
    </row>
    <row r="41" spans="1:12" ht="28" x14ac:dyDescent="0.2">
      <c r="A41" s="2" t="s">
        <v>202</v>
      </c>
      <c r="B41" s="2" t="s">
        <v>203</v>
      </c>
      <c r="C41" s="2" t="s">
        <v>17</v>
      </c>
      <c r="D41" s="2">
        <v>0</v>
      </c>
      <c r="E41" s="2" t="s">
        <v>597</v>
      </c>
      <c r="F41" s="2" t="s">
        <v>582</v>
      </c>
      <c r="G41" s="6" t="s">
        <v>591</v>
      </c>
      <c r="H41" s="2">
        <v>1</v>
      </c>
      <c r="I41" s="3">
        <v>356900</v>
      </c>
      <c r="J41" s="3">
        <f t="shared" si="1"/>
        <v>356900</v>
      </c>
      <c r="K41" s="2">
        <v>27781026451</v>
      </c>
      <c r="L41" s="2">
        <v>280402151298</v>
      </c>
    </row>
    <row r="42" spans="1:12" ht="28" x14ac:dyDescent="0.2">
      <c r="A42" s="2" t="s">
        <v>208</v>
      </c>
      <c r="B42" s="2" t="s">
        <v>209</v>
      </c>
      <c r="C42" s="2" t="s">
        <v>17</v>
      </c>
      <c r="D42" s="2">
        <v>0</v>
      </c>
      <c r="E42" s="2" t="s">
        <v>616</v>
      </c>
      <c r="F42" s="2" t="s">
        <v>572</v>
      </c>
      <c r="G42" s="6" t="s">
        <v>585</v>
      </c>
      <c r="H42" s="2">
        <v>1</v>
      </c>
      <c r="I42" s="3">
        <v>495000</v>
      </c>
      <c r="J42" s="3">
        <f t="shared" si="1"/>
        <v>495000</v>
      </c>
      <c r="K42" s="2">
        <v>29223771581</v>
      </c>
      <c r="L42" s="2">
        <v>286224202980</v>
      </c>
    </row>
    <row r="43" spans="1:12" ht="28" x14ac:dyDescent="0.2">
      <c r="A43" s="2" t="s">
        <v>214</v>
      </c>
      <c r="B43" s="2" t="s">
        <v>215</v>
      </c>
      <c r="C43" s="2" t="s">
        <v>17</v>
      </c>
      <c r="D43" s="2">
        <v>0</v>
      </c>
      <c r="E43" s="2" t="s">
        <v>617</v>
      </c>
      <c r="F43" s="2" t="s">
        <v>572</v>
      </c>
      <c r="G43" s="6" t="s">
        <v>585</v>
      </c>
      <c r="H43" s="2">
        <v>1</v>
      </c>
      <c r="I43" s="3">
        <v>487500</v>
      </c>
      <c r="J43" s="3">
        <f t="shared" si="1"/>
        <v>487500</v>
      </c>
      <c r="K43" s="2">
        <v>29223771581</v>
      </c>
      <c r="L43" s="2">
        <v>286224202986</v>
      </c>
    </row>
    <row r="44" spans="1:12" ht="28" x14ac:dyDescent="0.2">
      <c r="A44" s="8" t="s">
        <v>220</v>
      </c>
      <c r="B44" s="8" t="s">
        <v>221</v>
      </c>
      <c r="C44" s="8" t="s">
        <v>116</v>
      </c>
      <c r="D44" s="8">
        <v>0</v>
      </c>
      <c r="E44" s="8" t="s">
        <v>618</v>
      </c>
      <c r="F44" s="8" t="s">
        <v>572</v>
      </c>
      <c r="G44" s="10" t="s">
        <v>585</v>
      </c>
      <c r="H44" s="8">
        <v>1</v>
      </c>
      <c r="I44" s="9">
        <v>487500</v>
      </c>
      <c r="J44" s="9">
        <f t="shared" si="1"/>
        <v>487500</v>
      </c>
      <c r="K44" s="8">
        <v>29223771581</v>
      </c>
      <c r="L44" s="8">
        <v>286224202988</v>
      </c>
    </row>
    <row r="45" spans="1:12" ht="28" x14ac:dyDescent="0.2">
      <c r="A45" s="2" t="s">
        <v>225</v>
      </c>
      <c r="B45" s="2" t="s">
        <v>226</v>
      </c>
      <c r="C45" s="2" t="s">
        <v>17</v>
      </c>
      <c r="D45" s="2">
        <v>0</v>
      </c>
      <c r="E45" s="2" t="s">
        <v>617</v>
      </c>
      <c r="F45" s="2" t="s">
        <v>572</v>
      </c>
      <c r="G45" s="6" t="s">
        <v>585</v>
      </c>
      <c r="H45" s="2">
        <v>1</v>
      </c>
      <c r="I45" s="3">
        <v>950000</v>
      </c>
      <c r="J45" s="3">
        <f t="shared" si="1"/>
        <v>950000</v>
      </c>
      <c r="K45" s="2">
        <v>29223771581</v>
      </c>
      <c r="L45" s="2">
        <v>286224202986</v>
      </c>
    </row>
    <row r="46" spans="1:12" ht="28" x14ac:dyDescent="0.2">
      <c r="A46" s="8" t="s">
        <v>230</v>
      </c>
      <c r="B46" s="8" t="s">
        <v>231</v>
      </c>
      <c r="C46" s="8" t="s">
        <v>116</v>
      </c>
      <c r="D46" s="8">
        <v>0</v>
      </c>
      <c r="E46" s="8" t="s">
        <v>619</v>
      </c>
      <c r="F46" s="8" t="s">
        <v>620</v>
      </c>
      <c r="G46" s="10" t="s">
        <v>621</v>
      </c>
      <c r="H46" s="8">
        <v>1</v>
      </c>
      <c r="I46" s="9">
        <v>3751040</v>
      </c>
      <c r="J46" s="9">
        <f t="shared" si="1"/>
        <v>3751040</v>
      </c>
      <c r="K46" s="8">
        <v>41804007802</v>
      </c>
      <c r="L46" s="8">
        <v>270338124392</v>
      </c>
    </row>
    <row r="47" spans="1:12" ht="28" x14ac:dyDescent="0.2">
      <c r="A47" s="2" t="s">
        <v>234</v>
      </c>
      <c r="B47" s="2" t="s">
        <v>235</v>
      </c>
      <c r="C47" s="2" t="s">
        <v>17</v>
      </c>
      <c r="D47" s="2">
        <v>0</v>
      </c>
      <c r="E47" s="2" t="s">
        <v>618</v>
      </c>
      <c r="F47" s="2" t="s">
        <v>572</v>
      </c>
      <c r="G47" s="6" t="s">
        <v>585</v>
      </c>
      <c r="H47" s="2">
        <v>1</v>
      </c>
      <c r="I47" s="3">
        <v>627000</v>
      </c>
      <c r="J47" s="3">
        <f t="shared" si="1"/>
        <v>627000</v>
      </c>
      <c r="K47" s="2">
        <v>29223771581</v>
      </c>
      <c r="L47" s="2">
        <v>286224202988</v>
      </c>
    </row>
    <row r="48" spans="1:12" ht="28" x14ac:dyDescent="0.2">
      <c r="A48" s="2" t="s">
        <v>239</v>
      </c>
      <c r="B48" s="2" t="s">
        <v>240</v>
      </c>
      <c r="C48" s="2" t="s">
        <v>17</v>
      </c>
      <c r="D48" s="2">
        <v>0</v>
      </c>
      <c r="E48" s="2" t="s">
        <v>571</v>
      </c>
      <c r="F48" s="2" t="s">
        <v>572</v>
      </c>
      <c r="G48" s="6" t="s">
        <v>585</v>
      </c>
      <c r="H48" s="2">
        <v>1</v>
      </c>
      <c r="I48" s="3">
        <v>862500</v>
      </c>
      <c r="J48" s="3">
        <f t="shared" si="1"/>
        <v>862500</v>
      </c>
      <c r="K48" s="2">
        <v>29223771581</v>
      </c>
      <c r="L48" s="2">
        <v>286224202983</v>
      </c>
    </row>
    <row r="49" spans="1:12" ht="28" x14ac:dyDescent="0.2">
      <c r="A49" s="2" t="s">
        <v>243</v>
      </c>
      <c r="B49" s="2" t="s">
        <v>244</v>
      </c>
      <c r="C49" s="2" t="s">
        <v>17</v>
      </c>
      <c r="D49" s="2">
        <v>0</v>
      </c>
      <c r="E49" s="2" t="s">
        <v>594</v>
      </c>
      <c r="F49" s="2" t="s">
        <v>595</v>
      </c>
      <c r="G49" s="6" t="s">
        <v>622</v>
      </c>
      <c r="H49" s="2">
        <v>1</v>
      </c>
      <c r="I49" s="3">
        <v>3150000</v>
      </c>
      <c r="J49" s="3">
        <f t="shared" si="1"/>
        <v>3150000</v>
      </c>
      <c r="K49" s="2">
        <v>24893009852</v>
      </c>
      <c r="L49" s="2">
        <v>242969379384</v>
      </c>
    </row>
    <row r="50" spans="1:12" ht="28" x14ac:dyDescent="0.2">
      <c r="A50" s="2" t="s">
        <v>248</v>
      </c>
      <c r="B50" s="2" t="s">
        <v>249</v>
      </c>
      <c r="C50" s="2" t="s">
        <v>17</v>
      </c>
      <c r="D50" s="2">
        <v>0</v>
      </c>
      <c r="E50" s="2" t="s">
        <v>615</v>
      </c>
      <c r="F50" s="2" t="s">
        <v>572</v>
      </c>
      <c r="G50" s="6" t="s">
        <v>585</v>
      </c>
      <c r="H50" s="2">
        <v>1</v>
      </c>
      <c r="I50" s="3">
        <v>627000</v>
      </c>
      <c r="J50" s="3">
        <f t="shared" si="1"/>
        <v>627000</v>
      </c>
      <c r="K50" s="2">
        <v>29223771581</v>
      </c>
      <c r="L50" s="2">
        <v>286224202982</v>
      </c>
    </row>
    <row r="51" spans="1:12" ht="28" x14ac:dyDescent="0.2">
      <c r="A51" s="2" t="s">
        <v>254</v>
      </c>
      <c r="B51" s="2" t="s">
        <v>255</v>
      </c>
      <c r="C51" s="2" t="s">
        <v>17</v>
      </c>
      <c r="D51" s="2">
        <v>0</v>
      </c>
      <c r="E51" s="2" t="s">
        <v>615</v>
      </c>
      <c r="F51" s="2" t="s">
        <v>572</v>
      </c>
      <c r="G51" s="6" t="s">
        <v>623</v>
      </c>
      <c r="H51" s="2">
        <v>1</v>
      </c>
      <c r="I51" s="3">
        <v>579500</v>
      </c>
      <c r="J51" s="3">
        <f t="shared" si="1"/>
        <v>579500</v>
      </c>
      <c r="K51" s="2">
        <v>29223771581</v>
      </c>
      <c r="L51" s="2">
        <v>286224202982</v>
      </c>
    </row>
    <row r="52" spans="1:12" ht="28" x14ac:dyDescent="0.2">
      <c r="A52" s="2" t="s">
        <v>259</v>
      </c>
      <c r="B52" s="2" t="s">
        <v>260</v>
      </c>
      <c r="C52" s="2" t="s">
        <v>17</v>
      </c>
      <c r="D52" s="2">
        <v>0</v>
      </c>
      <c r="E52" s="2" t="s">
        <v>624</v>
      </c>
      <c r="F52" s="2" t="s">
        <v>625</v>
      </c>
      <c r="G52" s="6" t="s">
        <v>626</v>
      </c>
      <c r="H52" s="2">
        <v>1</v>
      </c>
      <c r="I52" s="3">
        <v>7085000</v>
      </c>
      <c r="J52" s="3">
        <f t="shared" si="1"/>
        <v>7085000</v>
      </c>
      <c r="K52" s="2">
        <v>41970997159</v>
      </c>
      <c r="L52" s="2">
        <v>306712133939</v>
      </c>
    </row>
    <row r="53" spans="1:12" ht="28" x14ac:dyDescent="0.2">
      <c r="A53" s="2" t="s">
        <v>263</v>
      </c>
      <c r="B53" s="2" t="s">
        <v>264</v>
      </c>
      <c r="C53" s="2" t="s">
        <v>17</v>
      </c>
      <c r="D53" s="2">
        <v>0</v>
      </c>
      <c r="E53" s="2" t="s">
        <v>627</v>
      </c>
      <c r="F53" s="2" t="s">
        <v>625</v>
      </c>
      <c r="G53" s="6" t="s">
        <v>626</v>
      </c>
      <c r="H53" s="2">
        <v>1</v>
      </c>
      <c r="I53" s="3">
        <v>5135000</v>
      </c>
      <c r="J53" s="3">
        <f t="shared" si="1"/>
        <v>5135000</v>
      </c>
      <c r="K53" s="2">
        <v>41970997159</v>
      </c>
      <c r="L53" s="2">
        <v>306712133936</v>
      </c>
    </row>
    <row r="54" spans="1:12" ht="28" x14ac:dyDescent="0.2">
      <c r="A54" s="2" t="s">
        <v>268</v>
      </c>
      <c r="B54" s="2" t="s">
        <v>269</v>
      </c>
      <c r="C54" s="2" t="s">
        <v>17</v>
      </c>
      <c r="D54" s="2">
        <v>0</v>
      </c>
      <c r="E54" s="2" t="s">
        <v>592</v>
      </c>
      <c r="F54" s="2" t="s">
        <v>572</v>
      </c>
      <c r="G54" s="6" t="s">
        <v>623</v>
      </c>
      <c r="H54" s="2">
        <v>1</v>
      </c>
      <c r="I54" s="3">
        <v>787500</v>
      </c>
      <c r="J54" s="3">
        <f t="shared" si="1"/>
        <v>787500</v>
      </c>
      <c r="K54" s="2">
        <v>29223771581</v>
      </c>
      <c r="L54" s="2">
        <v>286224202979</v>
      </c>
    </row>
    <row r="55" spans="1:12" ht="28" x14ac:dyDescent="0.2">
      <c r="A55" s="2" t="s">
        <v>274</v>
      </c>
      <c r="B55" s="2" t="s">
        <v>275</v>
      </c>
      <c r="C55" s="2" t="s">
        <v>17</v>
      </c>
      <c r="D55" s="2">
        <v>0</v>
      </c>
      <c r="E55" s="2" t="s">
        <v>628</v>
      </c>
      <c r="F55" s="2" t="s">
        <v>611</v>
      </c>
      <c r="G55" s="6" t="s">
        <v>629</v>
      </c>
      <c r="H55" s="2">
        <v>1</v>
      </c>
      <c r="I55" s="3">
        <v>1079700</v>
      </c>
      <c r="J55" s="3">
        <f t="shared" si="1"/>
        <v>1079700</v>
      </c>
      <c r="K55" s="2">
        <v>27276322807</v>
      </c>
      <c r="L55" s="2">
        <v>185790202731</v>
      </c>
    </row>
    <row r="56" spans="1:12" ht="28" x14ac:dyDescent="0.2">
      <c r="A56" s="2" t="s">
        <v>280</v>
      </c>
      <c r="B56" s="2" t="s">
        <v>281</v>
      </c>
      <c r="C56" s="2" t="s">
        <v>17</v>
      </c>
      <c r="D56" s="2">
        <v>0</v>
      </c>
      <c r="E56" s="2" t="s">
        <v>618</v>
      </c>
      <c r="F56" s="2" t="s">
        <v>572</v>
      </c>
      <c r="G56" s="6" t="s">
        <v>623</v>
      </c>
      <c r="H56" s="2">
        <v>1</v>
      </c>
      <c r="I56" s="3">
        <v>598500</v>
      </c>
      <c r="J56" s="3">
        <f t="shared" si="1"/>
        <v>598500</v>
      </c>
      <c r="K56" s="2">
        <v>29223771581</v>
      </c>
      <c r="L56" s="2">
        <v>286224202988</v>
      </c>
    </row>
    <row r="57" spans="1:12" ht="28" x14ac:dyDescent="0.2">
      <c r="A57" s="2" t="s">
        <v>286</v>
      </c>
      <c r="B57" s="2" t="s">
        <v>287</v>
      </c>
      <c r="C57" s="2" t="s">
        <v>17</v>
      </c>
      <c r="D57" s="2">
        <v>0</v>
      </c>
      <c r="E57" s="2" t="s">
        <v>581</v>
      </c>
      <c r="F57" s="2" t="s">
        <v>582</v>
      </c>
      <c r="G57" s="6" t="s">
        <v>630</v>
      </c>
      <c r="H57" s="2">
        <v>1</v>
      </c>
      <c r="I57" s="3">
        <v>312000</v>
      </c>
      <c r="J57" s="3">
        <f t="shared" si="1"/>
        <v>312000</v>
      </c>
      <c r="K57" s="2">
        <v>27781026451</v>
      </c>
      <c r="L57" s="2">
        <v>128273211360</v>
      </c>
    </row>
    <row r="58" spans="1:12" ht="28" x14ac:dyDescent="0.2">
      <c r="A58" s="4" t="s">
        <v>290</v>
      </c>
      <c r="B58" s="4" t="s">
        <v>291</v>
      </c>
      <c r="C58" s="4" t="s">
        <v>37</v>
      </c>
      <c r="D58" s="4">
        <v>0</v>
      </c>
      <c r="E58" s="4" t="s">
        <v>601</v>
      </c>
      <c r="F58" s="4" t="s">
        <v>595</v>
      </c>
      <c r="G58" s="7" t="s">
        <v>631</v>
      </c>
      <c r="H58" s="4">
        <v>1</v>
      </c>
      <c r="I58" s="5">
        <v>3050000</v>
      </c>
      <c r="J58" s="5">
        <f t="shared" si="1"/>
        <v>3050000</v>
      </c>
      <c r="K58" s="4">
        <v>24893009852</v>
      </c>
      <c r="L58" s="4">
        <v>242969379383</v>
      </c>
    </row>
    <row r="59" spans="1:12" ht="28" x14ac:dyDescent="0.2">
      <c r="A59" s="2" t="s">
        <v>294</v>
      </c>
      <c r="B59" s="2" t="s">
        <v>295</v>
      </c>
      <c r="C59" s="2" t="s">
        <v>17</v>
      </c>
      <c r="D59" s="2">
        <v>0</v>
      </c>
      <c r="E59" s="2" t="s">
        <v>586</v>
      </c>
      <c r="F59" s="2" t="s">
        <v>572</v>
      </c>
      <c r="G59" s="6" t="s">
        <v>623</v>
      </c>
      <c r="H59" s="2">
        <v>1</v>
      </c>
      <c r="I59" s="3">
        <v>825000</v>
      </c>
      <c r="J59" s="3">
        <f t="shared" si="1"/>
        <v>825000</v>
      </c>
      <c r="K59" s="2">
        <v>29223771581</v>
      </c>
      <c r="L59" s="2">
        <v>286224202981</v>
      </c>
    </row>
    <row r="60" spans="1:12" ht="28" x14ac:dyDescent="0.2">
      <c r="A60" s="4" t="s">
        <v>298</v>
      </c>
      <c r="B60" s="4" t="s">
        <v>299</v>
      </c>
      <c r="C60" s="4" t="s">
        <v>37</v>
      </c>
      <c r="D60" s="4">
        <v>0</v>
      </c>
      <c r="E60" s="4" t="s">
        <v>581</v>
      </c>
      <c r="F60" s="4" t="s">
        <v>582</v>
      </c>
      <c r="G60" s="7" t="s">
        <v>630</v>
      </c>
      <c r="H60" s="4">
        <v>2</v>
      </c>
      <c r="I60" s="5">
        <v>343200</v>
      </c>
      <c r="J60" s="5">
        <f t="shared" si="1"/>
        <v>686400</v>
      </c>
      <c r="K60" s="4">
        <v>27781026451</v>
      </c>
      <c r="L60" s="4">
        <v>128273211360</v>
      </c>
    </row>
    <row r="61" spans="1:12" ht="28" x14ac:dyDescent="0.2">
      <c r="A61" s="4" t="s">
        <v>304</v>
      </c>
      <c r="B61" s="4" t="s">
        <v>305</v>
      </c>
      <c r="C61" s="4" t="s">
        <v>37</v>
      </c>
      <c r="D61" s="4">
        <v>0</v>
      </c>
      <c r="E61" s="4" t="s">
        <v>632</v>
      </c>
      <c r="F61" s="4" t="s">
        <v>582</v>
      </c>
      <c r="G61" s="7" t="s">
        <v>630</v>
      </c>
      <c r="H61" s="4">
        <v>1</v>
      </c>
      <c r="I61" s="5">
        <v>322500</v>
      </c>
      <c r="J61" s="5">
        <f t="shared" si="1"/>
        <v>322500</v>
      </c>
      <c r="K61" s="4">
        <v>27781026451</v>
      </c>
      <c r="L61" s="4">
        <v>280402151297</v>
      </c>
    </row>
    <row r="62" spans="1:12" ht="28" x14ac:dyDescent="0.2">
      <c r="A62" s="2" t="s">
        <v>309</v>
      </c>
      <c r="B62" s="2" t="s">
        <v>310</v>
      </c>
      <c r="C62" s="2" t="s">
        <v>17</v>
      </c>
      <c r="D62" s="2">
        <v>0</v>
      </c>
      <c r="E62" s="2" t="s">
        <v>615</v>
      </c>
      <c r="F62" s="2" t="s">
        <v>572</v>
      </c>
      <c r="G62" s="6" t="s">
        <v>623</v>
      </c>
      <c r="H62" s="2">
        <v>1</v>
      </c>
      <c r="I62" s="3">
        <v>475000</v>
      </c>
      <c r="J62" s="3">
        <f t="shared" si="1"/>
        <v>475000</v>
      </c>
      <c r="K62" s="2">
        <v>29223771581</v>
      </c>
      <c r="L62" s="2">
        <v>286224202982</v>
      </c>
    </row>
    <row r="63" spans="1:12" ht="28" x14ac:dyDescent="0.2">
      <c r="A63" s="8" t="s">
        <v>314</v>
      </c>
      <c r="B63" s="8" t="s">
        <v>315</v>
      </c>
      <c r="C63" s="8" t="s">
        <v>116</v>
      </c>
      <c r="D63" s="8">
        <v>0</v>
      </c>
      <c r="E63" s="8" t="s">
        <v>606</v>
      </c>
      <c r="F63" s="8" t="s">
        <v>595</v>
      </c>
      <c r="G63" s="10" t="s">
        <v>631</v>
      </c>
      <c r="H63" s="8">
        <v>1</v>
      </c>
      <c r="I63" s="9">
        <v>2461488</v>
      </c>
      <c r="J63" s="9">
        <f t="shared" si="1"/>
        <v>2461488</v>
      </c>
      <c r="K63" s="8">
        <v>24893009852</v>
      </c>
      <c r="L63" s="8">
        <v>234028495908</v>
      </c>
    </row>
    <row r="64" spans="1:12" ht="28" x14ac:dyDescent="0.2">
      <c r="A64" s="4" t="s">
        <v>320</v>
      </c>
      <c r="B64" s="4" t="s">
        <v>315</v>
      </c>
      <c r="C64" s="4" t="s">
        <v>37</v>
      </c>
      <c r="D64" s="4">
        <v>0</v>
      </c>
      <c r="E64" s="4" t="s">
        <v>606</v>
      </c>
      <c r="F64" s="4" t="s">
        <v>595</v>
      </c>
      <c r="G64" s="7" t="s">
        <v>631</v>
      </c>
      <c r="H64" s="4">
        <v>1</v>
      </c>
      <c r="I64" s="5">
        <v>2461488</v>
      </c>
      <c r="J64" s="5">
        <f t="shared" si="1"/>
        <v>2461488</v>
      </c>
      <c r="K64" s="4">
        <v>24893009852</v>
      </c>
      <c r="L64" s="4">
        <v>234028495908</v>
      </c>
    </row>
    <row r="65" spans="1:12" ht="28" x14ac:dyDescent="0.2">
      <c r="A65" s="2" t="s">
        <v>324</v>
      </c>
      <c r="B65" s="2" t="s">
        <v>325</v>
      </c>
      <c r="C65" s="2" t="s">
        <v>17</v>
      </c>
      <c r="D65" s="2">
        <v>0</v>
      </c>
      <c r="E65" s="2" t="s">
        <v>581</v>
      </c>
      <c r="F65" s="2" t="s">
        <v>582</v>
      </c>
      <c r="G65" s="6" t="s">
        <v>630</v>
      </c>
      <c r="H65" s="2">
        <v>1</v>
      </c>
      <c r="I65" s="3">
        <v>419000</v>
      </c>
      <c r="J65" s="3">
        <f t="shared" si="1"/>
        <v>419000</v>
      </c>
      <c r="K65" s="2">
        <v>27781026451</v>
      </c>
      <c r="L65" s="2">
        <v>128273211360</v>
      </c>
    </row>
    <row r="66" spans="1:12" ht="28" x14ac:dyDescent="0.2">
      <c r="A66" s="2" t="s">
        <v>328</v>
      </c>
      <c r="B66" s="2" t="s">
        <v>329</v>
      </c>
      <c r="C66" s="2" t="s">
        <v>17</v>
      </c>
      <c r="D66" s="2">
        <v>0</v>
      </c>
      <c r="E66" s="2" t="s">
        <v>581</v>
      </c>
      <c r="F66" s="2" t="s">
        <v>582</v>
      </c>
      <c r="G66" s="6" t="s">
        <v>630</v>
      </c>
      <c r="H66" s="2">
        <v>1</v>
      </c>
      <c r="I66" s="3">
        <v>374400</v>
      </c>
      <c r="J66" s="3">
        <f t="shared" ref="J66:J97" si="2">H66*I66</f>
        <v>374400</v>
      </c>
      <c r="K66" s="2">
        <v>27781026451</v>
      </c>
      <c r="L66" s="2">
        <v>128273211360</v>
      </c>
    </row>
    <row r="67" spans="1:12" ht="28" x14ac:dyDescent="0.2">
      <c r="A67" s="8" t="s">
        <v>333</v>
      </c>
      <c r="B67" s="8" t="s">
        <v>334</v>
      </c>
      <c r="C67" s="8" t="s">
        <v>116</v>
      </c>
      <c r="D67" s="8">
        <v>0</v>
      </c>
      <c r="E67" s="8" t="s">
        <v>633</v>
      </c>
      <c r="F67" s="8" t="s">
        <v>611</v>
      </c>
      <c r="G67" s="10" t="s">
        <v>629</v>
      </c>
      <c r="H67" s="8">
        <v>1</v>
      </c>
      <c r="I67" s="9">
        <v>796500</v>
      </c>
      <c r="J67" s="9">
        <f t="shared" si="2"/>
        <v>796500</v>
      </c>
      <c r="K67" s="8">
        <v>27276322807</v>
      </c>
      <c r="L67" s="8">
        <v>185790202730</v>
      </c>
    </row>
    <row r="68" spans="1:12" ht="28" x14ac:dyDescent="0.2">
      <c r="A68" s="8" t="s">
        <v>336</v>
      </c>
      <c r="B68" s="8" t="s">
        <v>337</v>
      </c>
      <c r="C68" s="8" t="s">
        <v>116</v>
      </c>
      <c r="D68" s="8">
        <v>0</v>
      </c>
      <c r="E68" s="8" t="s">
        <v>605</v>
      </c>
      <c r="F68" s="8" t="s">
        <v>595</v>
      </c>
      <c r="G68" s="10" t="s">
        <v>631</v>
      </c>
      <c r="H68" s="8">
        <v>1</v>
      </c>
      <c r="I68" s="9">
        <v>2000000</v>
      </c>
      <c r="J68" s="9">
        <f t="shared" si="2"/>
        <v>2000000</v>
      </c>
      <c r="K68" s="8">
        <v>24893009852</v>
      </c>
      <c r="L68" s="8">
        <v>234028495909</v>
      </c>
    </row>
    <row r="69" spans="1:12" ht="28" x14ac:dyDescent="0.2">
      <c r="A69" s="4" t="s">
        <v>341</v>
      </c>
      <c r="B69" s="4" t="s">
        <v>342</v>
      </c>
      <c r="C69" s="4" t="s">
        <v>37</v>
      </c>
      <c r="D69" s="4">
        <v>0</v>
      </c>
      <c r="E69" s="4" t="s">
        <v>590</v>
      </c>
      <c r="F69" s="4" t="s">
        <v>582</v>
      </c>
      <c r="G69" s="7" t="s">
        <v>630</v>
      </c>
      <c r="H69" s="4">
        <v>1</v>
      </c>
      <c r="I69" s="5">
        <v>292000</v>
      </c>
      <c r="J69" s="5">
        <f t="shared" si="2"/>
        <v>292000</v>
      </c>
      <c r="K69" s="4">
        <v>27781026451</v>
      </c>
      <c r="L69" s="4">
        <v>129300387924</v>
      </c>
    </row>
    <row r="70" spans="1:12" ht="28" x14ac:dyDescent="0.2">
      <c r="A70" s="4" t="s">
        <v>346</v>
      </c>
      <c r="B70" s="4" t="s">
        <v>347</v>
      </c>
      <c r="C70" s="4" t="s">
        <v>37</v>
      </c>
      <c r="D70" s="4">
        <v>0</v>
      </c>
      <c r="E70" s="4" t="s">
        <v>590</v>
      </c>
      <c r="F70" s="4" t="s">
        <v>582</v>
      </c>
      <c r="G70" s="7" t="s">
        <v>630</v>
      </c>
      <c r="H70" s="4">
        <v>1</v>
      </c>
      <c r="I70" s="5">
        <v>365000</v>
      </c>
      <c r="J70" s="5">
        <f t="shared" si="2"/>
        <v>365000</v>
      </c>
      <c r="K70" s="4">
        <v>27781026451</v>
      </c>
      <c r="L70" s="4">
        <v>129300387924</v>
      </c>
    </row>
    <row r="71" spans="1:12" ht="28" x14ac:dyDescent="0.2">
      <c r="A71" s="2" t="s">
        <v>352</v>
      </c>
      <c r="B71" s="2" t="s">
        <v>353</v>
      </c>
      <c r="C71" s="2" t="s">
        <v>17</v>
      </c>
      <c r="D71" s="2">
        <v>0</v>
      </c>
      <c r="E71" s="2" t="s">
        <v>634</v>
      </c>
      <c r="F71" s="2" t="s">
        <v>635</v>
      </c>
      <c r="G71" s="6" t="s">
        <v>636</v>
      </c>
      <c r="H71" s="2">
        <v>1</v>
      </c>
      <c r="I71" s="3">
        <v>675000</v>
      </c>
      <c r="J71" s="3">
        <f t="shared" si="2"/>
        <v>675000</v>
      </c>
      <c r="K71" s="2">
        <v>41271371866</v>
      </c>
      <c r="L71" s="2">
        <v>157965287665</v>
      </c>
    </row>
    <row r="72" spans="1:12" ht="28" x14ac:dyDescent="0.2">
      <c r="A72" s="2" t="s">
        <v>358</v>
      </c>
      <c r="B72" s="2" t="s">
        <v>359</v>
      </c>
      <c r="C72" s="2" t="s">
        <v>17</v>
      </c>
      <c r="D72" s="2">
        <v>0</v>
      </c>
      <c r="E72" s="2" t="s">
        <v>616</v>
      </c>
      <c r="F72" s="2" t="s">
        <v>572</v>
      </c>
      <c r="G72" s="6" t="s">
        <v>637</v>
      </c>
      <c r="H72" s="2">
        <v>1</v>
      </c>
      <c r="I72" s="3">
        <v>712500</v>
      </c>
      <c r="J72" s="3">
        <f t="shared" si="2"/>
        <v>712500</v>
      </c>
      <c r="K72" s="2">
        <v>29223771581</v>
      </c>
      <c r="L72" s="2">
        <v>286224202980</v>
      </c>
    </row>
    <row r="73" spans="1:12" ht="28" x14ac:dyDescent="0.2">
      <c r="A73" s="2" t="s">
        <v>358</v>
      </c>
      <c r="B73" s="2" t="s">
        <v>359</v>
      </c>
      <c r="C73" s="2" t="s">
        <v>17</v>
      </c>
      <c r="D73" s="2">
        <v>1</v>
      </c>
      <c r="E73" s="2" t="s">
        <v>638</v>
      </c>
      <c r="F73" s="2" t="s">
        <v>572</v>
      </c>
      <c r="G73" s="6" t="s">
        <v>637</v>
      </c>
      <c r="H73" s="2">
        <v>1</v>
      </c>
      <c r="I73" s="3">
        <v>712500</v>
      </c>
      <c r="J73" s="3">
        <f t="shared" si="2"/>
        <v>712500</v>
      </c>
      <c r="K73" s="2">
        <v>29223771581</v>
      </c>
      <c r="L73" s="2">
        <v>286224202984</v>
      </c>
    </row>
    <row r="74" spans="1:12" ht="28" x14ac:dyDescent="0.2">
      <c r="A74" s="2" t="s">
        <v>362</v>
      </c>
      <c r="B74" s="2" t="s">
        <v>363</v>
      </c>
      <c r="C74" s="2" t="s">
        <v>17</v>
      </c>
      <c r="D74" s="2">
        <v>0</v>
      </c>
      <c r="E74" s="2" t="s">
        <v>617</v>
      </c>
      <c r="F74" s="2" t="s">
        <v>572</v>
      </c>
      <c r="G74" s="6" t="s">
        <v>637</v>
      </c>
      <c r="H74" s="2">
        <v>1</v>
      </c>
      <c r="I74" s="3">
        <v>712500</v>
      </c>
      <c r="J74" s="3">
        <f t="shared" si="2"/>
        <v>712500</v>
      </c>
      <c r="K74" s="2">
        <v>29223771581</v>
      </c>
      <c r="L74" s="2">
        <v>286224202986</v>
      </c>
    </row>
    <row r="75" spans="1:12" ht="28" x14ac:dyDescent="0.2">
      <c r="A75" s="2" t="s">
        <v>368</v>
      </c>
      <c r="B75" s="2" t="s">
        <v>369</v>
      </c>
      <c r="C75" s="2" t="s">
        <v>17</v>
      </c>
      <c r="D75" s="2">
        <v>0</v>
      </c>
      <c r="E75" s="2" t="s">
        <v>639</v>
      </c>
      <c r="F75" s="2" t="s">
        <v>640</v>
      </c>
      <c r="G75" s="6" t="s">
        <v>641</v>
      </c>
      <c r="H75" s="2">
        <v>1</v>
      </c>
      <c r="I75" s="3">
        <v>1200000</v>
      </c>
      <c r="J75" s="3">
        <f t="shared" si="2"/>
        <v>1200000</v>
      </c>
      <c r="K75" s="2">
        <v>44071363621</v>
      </c>
      <c r="L75" s="2">
        <v>248995359411</v>
      </c>
    </row>
    <row r="76" spans="1:12" ht="28" x14ac:dyDescent="0.2">
      <c r="A76" s="2" t="s">
        <v>373</v>
      </c>
      <c r="B76" s="2" t="s">
        <v>374</v>
      </c>
      <c r="C76" s="2" t="s">
        <v>17</v>
      </c>
      <c r="D76" s="2">
        <v>0</v>
      </c>
      <c r="E76" s="2" t="s">
        <v>590</v>
      </c>
      <c r="F76" s="2" t="s">
        <v>582</v>
      </c>
      <c r="G76" s="6" t="s">
        <v>630</v>
      </c>
      <c r="H76" s="2">
        <v>1</v>
      </c>
      <c r="I76" s="3">
        <v>547500</v>
      </c>
      <c r="J76" s="3">
        <f t="shared" si="2"/>
        <v>547500</v>
      </c>
      <c r="K76" s="2">
        <v>27781026451</v>
      </c>
      <c r="L76" s="2">
        <v>129300387924</v>
      </c>
    </row>
    <row r="77" spans="1:12" ht="28" x14ac:dyDescent="0.2">
      <c r="A77" s="2" t="s">
        <v>377</v>
      </c>
      <c r="B77" s="2" t="s">
        <v>378</v>
      </c>
      <c r="C77" s="2" t="s">
        <v>17</v>
      </c>
      <c r="D77" s="2">
        <v>0</v>
      </c>
      <c r="E77" s="2" t="s">
        <v>642</v>
      </c>
      <c r="F77" s="2" t="s">
        <v>611</v>
      </c>
      <c r="G77" s="6" t="s">
        <v>629</v>
      </c>
      <c r="H77" s="2">
        <v>1</v>
      </c>
      <c r="I77" s="3">
        <v>1079700</v>
      </c>
      <c r="J77" s="3">
        <f t="shared" si="2"/>
        <v>1079700</v>
      </c>
      <c r="K77" s="2">
        <v>27276322807</v>
      </c>
      <c r="L77" s="2">
        <v>185790202733</v>
      </c>
    </row>
    <row r="78" spans="1:12" ht="28" x14ac:dyDescent="0.2">
      <c r="A78" s="8" t="s">
        <v>381</v>
      </c>
      <c r="B78" s="8" t="s">
        <v>382</v>
      </c>
      <c r="C78" s="8" t="s">
        <v>116</v>
      </c>
      <c r="D78" s="8">
        <v>0</v>
      </c>
      <c r="E78" s="8" t="s">
        <v>639</v>
      </c>
      <c r="F78" s="8" t="s">
        <v>640</v>
      </c>
      <c r="G78" s="10" t="s">
        <v>641</v>
      </c>
      <c r="H78" s="8">
        <v>1</v>
      </c>
      <c r="I78" s="9">
        <v>1200000</v>
      </c>
      <c r="J78" s="9">
        <f t="shared" si="2"/>
        <v>1200000</v>
      </c>
      <c r="K78" s="8">
        <v>44071363621</v>
      </c>
      <c r="L78" s="8">
        <v>248995359411</v>
      </c>
    </row>
    <row r="79" spans="1:12" ht="28" x14ac:dyDescent="0.2">
      <c r="A79" s="8" t="s">
        <v>385</v>
      </c>
      <c r="B79" s="8" t="s">
        <v>386</v>
      </c>
      <c r="C79" s="8" t="s">
        <v>116</v>
      </c>
      <c r="D79" s="8">
        <v>0</v>
      </c>
      <c r="E79" s="8" t="s">
        <v>606</v>
      </c>
      <c r="F79" s="8" t="s">
        <v>595</v>
      </c>
      <c r="G79" s="10" t="s">
        <v>643</v>
      </c>
      <c r="H79" s="8">
        <v>1</v>
      </c>
      <c r="I79" s="9">
        <v>2745000</v>
      </c>
      <c r="J79" s="9">
        <f t="shared" si="2"/>
        <v>2745000</v>
      </c>
      <c r="K79" s="8">
        <v>24893009852</v>
      </c>
      <c r="L79" s="8">
        <v>234028495908</v>
      </c>
    </row>
    <row r="80" spans="1:12" ht="28" x14ac:dyDescent="0.2">
      <c r="A80" s="8" t="s">
        <v>385</v>
      </c>
      <c r="B80" s="8" t="s">
        <v>386</v>
      </c>
      <c r="C80" s="8" t="s">
        <v>116</v>
      </c>
      <c r="D80" s="8">
        <v>1</v>
      </c>
      <c r="E80" s="8" t="s">
        <v>615</v>
      </c>
      <c r="F80" s="8" t="s">
        <v>572</v>
      </c>
      <c r="G80" s="10" t="s">
        <v>637</v>
      </c>
      <c r="H80" s="8">
        <v>1</v>
      </c>
      <c r="I80" s="9"/>
      <c r="J80" s="9">
        <f t="shared" si="2"/>
        <v>0</v>
      </c>
      <c r="K80" s="8">
        <v>29223771581</v>
      </c>
      <c r="L80" s="8">
        <v>286224202982</v>
      </c>
    </row>
    <row r="81" spans="1:12" ht="28" x14ac:dyDescent="0.2">
      <c r="A81" s="2" t="s">
        <v>390</v>
      </c>
      <c r="B81" s="2" t="s">
        <v>386</v>
      </c>
      <c r="C81" s="2" t="s">
        <v>17</v>
      </c>
      <c r="D81" s="2">
        <v>0</v>
      </c>
      <c r="E81" s="2" t="s">
        <v>606</v>
      </c>
      <c r="F81" s="2" t="s">
        <v>595</v>
      </c>
      <c r="G81" s="6" t="s">
        <v>643</v>
      </c>
      <c r="H81" s="2">
        <v>1</v>
      </c>
      <c r="I81" s="3">
        <v>2745000</v>
      </c>
      <c r="J81" s="3">
        <f t="shared" si="2"/>
        <v>2745000</v>
      </c>
      <c r="K81" s="2">
        <v>24893009852</v>
      </c>
      <c r="L81" s="2">
        <v>234028495908</v>
      </c>
    </row>
    <row r="82" spans="1:12" ht="28" x14ac:dyDescent="0.2">
      <c r="A82" s="2" t="s">
        <v>390</v>
      </c>
      <c r="B82" s="2" t="s">
        <v>386</v>
      </c>
      <c r="C82" s="2" t="s">
        <v>17</v>
      </c>
      <c r="D82" s="2">
        <v>1</v>
      </c>
      <c r="E82" s="2" t="s">
        <v>615</v>
      </c>
      <c r="F82" s="2" t="s">
        <v>572</v>
      </c>
      <c r="G82" s="6" t="s">
        <v>637</v>
      </c>
      <c r="H82" s="2">
        <v>1</v>
      </c>
      <c r="I82" s="3"/>
      <c r="J82" s="3">
        <f t="shared" si="2"/>
        <v>0</v>
      </c>
      <c r="K82" s="2">
        <v>29223771581</v>
      </c>
      <c r="L82" s="2">
        <v>286224202982</v>
      </c>
    </row>
    <row r="83" spans="1:12" ht="28" x14ac:dyDescent="0.2">
      <c r="A83" s="2" t="s">
        <v>393</v>
      </c>
      <c r="B83" s="2" t="s">
        <v>394</v>
      </c>
      <c r="C83" s="2" t="s">
        <v>17</v>
      </c>
      <c r="D83" s="2">
        <v>0</v>
      </c>
      <c r="E83" s="2" t="s">
        <v>601</v>
      </c>
      <c r="F83" s="2" t="s">
        <v>595</v>
      </c>
      <c r="G83" s="6" t="s">
        <v>644</v>
      </c>
      <c r="H83" s="2">
        <v>1</v>
      </c>
      <c r="I83" s="3">
        <v>2806000</v>
      </c>
      <c r="J83" s="3">
        <f t="shared" si="2"/>
        <v>2806000</v>
      </c>
      <c r="K83" s="2">
        <v>24893009852</v>
      </c>
      <c r="L83" s="2">
        <v>242969379383</v>
      </c>
    </row>
    <row r="84" spans="1:12" ht="28" x14ac:dyDescent="0.2">
      <c r="A84" s="2" t="s">
        <v>393</v>
      </c>
      <c r="B84" s="2" t="s">
        <v>394</v>
      </c>
      <c r="C84" s="2" t="s">
        <v>17</v>
      </c>
      <c r="D84" s="2">
        <v>1</v>
      </c>
      <c r="E84" s="2" t="s">
        <v>616</v>
      </c>
      <c r="F84" s="2" t="s">
        <v>572</v>
      </c>
      <c r="G84" s="6" t="s">
        <v>637</v>
      </c>
      <c r="H84" s="2">
        <v>1</v>
      </c>
      <c r="I84" s="3"/>
      <c r="J84" s="3">
        <f t="shared" si="2"/>
        <v>0</v>
      </c>
      <c r="K84" s="2">
        <v>29223771581</v>
      </c>
      <c r="L84" s="2">
        <v>286224202980</v>
      </c>
    </row>
    <row r="85" spans="1:12" ht="28" x14ac:dyDescent="0.2">
      <c r="A85" s="8" t="s">
        <v>397</v>
      </c>
      <c r="B85" s="8" t="s">
        <v>398</v>
      </c>
      <c r="C85" s="8" t="s">
        <v>116</v>
      </c>
      <c r="D85" s="8">
        <v>0</v>
      </c>
      <c r="E85" s="8" t="s">
        <v>618</v>
      </c>
      <c r="F85" s="8" t="s">
        <v>572</v>
      </c>
      <c r="G85" s="10" t="s">
        <v>637</v>
      </c>
      <c r="H85" s="8">
        <v>1</v>
      </c>
      <c r="I85" s="9">
        <v>712500</v>
      </c>
      <c r="J85" s="9">
        <f t="shared" si="2"/>
        <v>712500</v>
      </c>
      <c r="K85" s="8">
        <v>29223771581</v>
      </c>
      <c r="L85" s="8">
        <v>286224202988</v>
      </c>
    </row>
    <row r="86" spans="1:12" ht="28" x14ac:dyDescent="0.2">
      <c r="A86" s="2" t="s">
        <v>401</v>
      </c>
      <c r="B86" s="2" t="s">
        <v>402</v>
      </c>
      <c r="C86" s="2" t="s">
        <v>17</v>
      </c>
      <c r="D86" s="2">
        <v>0</v>
      </c>
      <c r="E86" s="2" t="s">
        <v>618</v>
      </c>
      <c r="F86" s="2" t="s">
        <v>572</v>
      </c>
      <c r="G86" s="6" t="s">
        <v>637</v>
      </c>
      <c r="H86" s="2">
        <v>1</v>
      </c>
      <c r="I86" s="3">
        <v>380000</v>
      </c>
      <c r="J86" s="3">
        <f t="shared" si="2"/>
        <v>380000</v>
      </c>
      <c r="K86" s="2">
        <v>29223771581</v>
      </c>
      <c r="L86" s="2">
        <v>286224202988</v>
      </c>
    </row>
    <row r="87" spans="1:12" ht="28" x14ac:dyDescent="0.2">
      <c r="A87" s="2" t="s">
        <v>407</v>
      </c>
      <c r="B87" s="2" t="s">
        <v>408</v>
      </c>
      <c r="C87" s="2" t="s">
        <v>17</v>
      </c>
      <c r="D87" s="2">
        <v>0</v>
      </c>
      <c r="E87" s="2" t="s">
        <v>581</v>
      </c>
      <c r="F87" s="2" t="s">
        <v>582</v>
      </c>
      <c r="G87" s="6" t="s">
        <v>630</v>
      </c>
      <c r="H87" s="2">
        <v>1</v>
      </c>
      <c r="I87" s="3">
        <v>780000</v>
      </c>
      <c r="J87" s="3">
        <f t="shared" si="2"/>
        <v>780000</v>
      </c>
      <c r="K87" s="2">
        <v>27781026451</v>
      </c>
      <c r="L87" s="2">
        <v>128273211360</v>
      </c>
    </row>
    <row r="88" spans="1:12" ht="28" x14ac:dyDescent="0.2">
      <c r="A88" s="2" t="s">
        <v>407</v>
      </c>
      <c r="B88" s="2" t="s">
        <v>408</v>
      </c>
      <c r="C88" s="2" t="s">
        <v>17</v>
      </c>
      <c r="D88" s="2">
        <v>1</v>
      </c>
      <c r="E88" s="2" t="s">
        <v>634</v>
      </c>
      <c r="F88" s="2" t="s">
        <v>635</v>
      </c>
      <c r="G88" s="6" t="s">
        <v>636</v>
      </c>
      <c r="H88" s="2">
        <v>1</v>
      </c>
      <c r="I88" s="3">
        <v>729000</v>
      </c>
      <c r="J88" s="3">
        <f t="shared" si="2"/>
        <v>729000</v>
      </c>
      <c r="K88" s="2">
        <v>41271371866</v>
      </c>
      <c r="L88" s="2">
        <v>157965287665</v>
      </c>
    </row>
    <row r="89" spans="1:12" ht="28" x14ac:dyDescent="0.2">
      <c r="A89" s="2" t="s">
        <v>410</v>
      </c>
      <c r="B89" s="2" t="s">
        <v>411</v>
      </c>
      <c r="C89" s="2" t="s">
        <v>17</v>
      </c>
      <c r="D89" s="2">
        <v>0</v>
      </c>
      <c r="E89" s="2" t="s">
        <v>586</v>
      </c>
      <c r="F89" s="2" t="s">
        <v>572</v>
      </c>
      <c r="G89" s="6" t="s">
        <v>623</v>
      </c>
      <c r="H89" s="2">
        <v>1</v>
      </c>
      <c r="I89" s="3">
        <v>625000</v>
      </c>
      <c r="J89" s="3">
        <f t="shared" si="2"/>
        <v>625000</v>
      </c>
      <c r="K89" s="2">
        <v>29223771581</v>
      </c>
      <c r="L89" s="2">
        <v>286224202981</v>
      </c>
    </row>
    <row r="90" spans="1:12" ht="28" x14ac:dyDescent="0.2">
      <c r="A90" s="2" t="s">
        <v>414</v>
      </c>
      <c r="B90" s="2" t="s">
        <v>415</v>
      </c>
      <c r="C90" s="2" t="s">
        <v>17</v>
      </c>
      <c r="D90" s="2">
        <v>0</v>
      </c>
      <c r="E90" s="2" t="s">
        <v>615</v>
      </c>
      <c r="F90" s="2" t="s">
        <v>572</v>
      </c>
      <c r="G90" s="6" t="s">
        <v>623</v>
      </c>
      <c r="H90" s="2">
        <v>1</v>
      </c>
      <c r="I90" s="3">
        <v>380000</v>
      </c>
      <c r="J90" s="3">
        <f t="shared" si="2"/>
        <v>380000</v>
      </c>
      <c r="K90" s="2">
        <v>29223771581</v>
      </c>
      <c r="L90" s="2">
        <v>286224202982</v>
      </c>
    </row>
    <row r="91" spans="1:12" ht="28" x14ac:dyDescent="0.2">
      <c r="A91" s="2" t="s">
        <v>419</v>
      </c>
      <c r="B91" s="2" t="s">
        <v>420</v>
      </c>
      <c r="C91" s="2" t="s">
        <v>17</v>
      </c>
      <c r="D91" s="2">
        <v>0</v>
      </c>
      <c r="E91" s="2" t="s">
        <v>638</v>
      </c>
      <c r="F91" s="2" t="s">
        <v>572</v>
      </c>
      <c r="G91" s="6" t="s">
        <v>623</v>
      </c>
      <c r="H91" s="2">
        <v>1</v>
      </c>
      <c r="I91" s="3">
        <v>446500</v>
      </c>
      <c r="J91" s="3">
        <f t="shared" si="2"/>
        <v>446500</v>
      </c>
      <c r="K91" s="2">
        <v>29223771581</v>
      </c>
      <c r="L91" s="2">
        <v>286224202984</v>
      </c>
    </row>
    <row r="92" spans="1:12" ht="28" x14ac:dyDescent="0.2">
      <c r="A92" s="2" t="s">
        <v>425</v>
      </c>
      <c r="B92" s="2" t="s">
        <v>426</v>
      </c>
      <c r="C92" s="2" t="s">
        <v>17</v>
      </c>
      <c r="D92" s="2">
        <v>0</v>
      </c>
      <c r="E92" s="2" t="s">
        <v>642</v>
      </c>
      <c r="F92" s="2" t="s">
        <v>611</v>
      </c>
      <c r="G92" s="6" t="s">
        <v>629</v>
      </c>
      <c r="H92" s="2">
        <v>1</v>
      </c>
      <c r="I92" s="3">
        <v>885000</v>
      </c>
      <c r="J92" s="3">
        <f t="shared" si="2"/>
        <v>885000</v>
      </c>
      <c r="K92" s="2">
        <v>27276322807</v>
      </c>
      <c r="L92" s="2">
        <v>185790202733</v>
      </c>
    </row>
    <row r="93" spans="1:12" ht="28" x14ac:dyDescent="0.2">
      <c r="A93" s="2" t="s">
        <v>430</v>
      </c>
      <c r="B93" s="2" t="s">
        <v>431</v>
      </c>
      <c r="C93" s="2" t="s">
        <v>17</v>
      </c>
      <c r="D93" s="2">
        <v>0</v>
      </c>
      <c r="E93" s="2" t="s">
        <v>586</v>
      </c>
      <c r="F93" s="2" t="s">
        <v>572</v>
      </c>
      <c r="G93" s="6" t="s">
        <v>645</v>
      </c>
      <c r="H93" s="2">
        <v>1</v>
      </c>
      <c r="I93" s="3">
        <v>687500</v>
      </c>
      <c r="J93" s="3">
        <f t="shared" si="2"/>
        <v>687500</v>
      </c>
      <c r="K93" s="2">
        <v>29223771581</v>
      </c>
      <c r="L93" s="2">
        <v>286224202981</v>
      </c>
    </row>
    <row r="94" spans="1:12" ht="28" x14ac:dyDescent="0.2">
      <c r="A94" s="2" t="s">
        <v>437</v>
      </c>
      <c r="B94" s="2" t="s">
        <v>438</v>
      </c>
      <c r="C94" s="2" t="s">
        <v>17</v>
      </c>
      <c r="D94" s="2">
        <v>0</v>
      </c>
      <c r="E94" s="2" t="s">
        <v>584</v>
      </c>
      <c r="F94" s="2" t="s">
        <v>572</v>
      </c>
      <c r="G94" s="6" t="s">
        <v>645</v>
      </c>
      <c r="H94" s="2">
        <v>1</v>
      </c>
      <c r="I94" s="3">
        <v>587500</v>
      </c>
      <c r="J94" s="3">
        <f t="shared" si="2"/>
        <v>587500</v>
      </c>
      <c r="K94" s="2">
        <v>29223771581</v>
      </c>
      <c r="L94" s="2">
        <v>286224202985</v>
      </c>
    </row>
    <row r="95" spans="1:12" ht="28" x14ac:dyDescent="0.2">
      <c r="A95" s="8" t="s">
        <v>441</v>
      </c>
      <c r="B95" s="8" t="s">
        <v>442</v>
      </c>
      <c r="C95" s="8" t="s">
        <v>116</v>
      </c>
      <c r="D95" s="8">
        <v>0</v>
      </c>
      <c r="E95" s="8" t="s">
        <v>617</v>
      </c>
      <c r="F95" s="8" t="s">
        <v>572</v>
      </c>
      <c r="G95" s="10" t="s">
        <v>645</v>
      </c>
      <c r="H95" s="8">
        <v>1</v>
      </c>
      <c r="I95" s="9">
        <v>446500</v>
      </c>
      <c r="J95" s="9">
        <f t="shared" si="2"/>
        <v>446500</v>
      </c>
      <c r="K95" s="8">
        <v>29223771581</v>
      </c>
      <c r="L95" s="8">
        <v>286224202986</v>
      </c>
    </row>
    <row r="96" spans="1:12" ht="28" x14ac:dyDescent="0.2">
      <c r="A96" s="2" t="s">
        <v>446</v>
      </c>
      <c r="B96" s="2" t="s">
        <v>442</v>
      </c>
      <c r="C96" s="2" t="s">
        <v>17</v>
      </c>
      <c r="D96" s="2">
        <v>0</v>
      </c>
      <c r="E96" s="2" t="s">
        <v>617</v>
      </c>
      <c r="F96" s="2" t="s">
        <v>572</v>
      </c>
      <c r="G96" s="6" t="s">
        <v>645</v>
      </c>
      <c r="H96" s="2">
        <v>1</v>
      </c>
      <c r="I96" s="3">
        <v>446500</v>
      </c>
      <c r="J96" s="3">
        <f t="shared" si="2"/>
        <v>446500</v>
      </c>
      <c r="K96" s="2">
        <v>29223771581</v>
      </c>
      <c r="L96" s="2">
        <v>286224202986</v>
      </c>
    </row>
    <row r="97" spans="1:12" ht="28" x14ac:dyDescent="0.2">
      <c r="A97" s="2" t="s">
        <v>450</v>
      </c>
      <c r="B97" s="2" t="s">
        <v>451</v>
      </c>
      <c r="C97" s="2" t="s">
        <v>17</v>
      </c>
      <c r="D97" s="2">
        <v>0</v>
      </c>
      <c r="E97" s="2" t="s">
        <v>632</v>
      </c>
      <c r="F97" s="2" t="s">
        <v>582</v>
      </c>
      <c r="G97" s="6" t="s">
        <v>630</v>
      </c>
      <c r="H97" s="2">
        <v>1</v>
      </c>
      <c r="I97" s="3">
        <v>277500</v>
      </c>
      <c r="J97" s="3">
        <f t="shared" si="2"/>
        <v>277500</v>
      </c>
      <c r="K97" s="2">
        <v>27781026451</v>
      </c>
      <c r="L97" s="2">
        <v>280402151297</v>
      </c>
    </row>
    <row r="98" spans="1:12" ht="28" x14ac:dyDescent="0.2">
      <c r="A98" s="2" t="s">
        <v>456</v>
      </c>
      <c r="B98" s="2" t="s">
        <v>457</v>
      </c>
      <c r="C98" s="2" t="s">
        <v>17</v>
      </c>
      <c r="D98" s="2">
        <v>0</v>
      </c>
      <c r="E98" s="2" t="s">
        <v>617</v>
      </c>
      <c r="F98" s="2" t="s">
        <v>572</v>
      </c>
      <c r="G98" s="6" t="s">
        <v>645</v>
      </c>
      <c r="H98" s="2">
        <v>1</v>
      </c>
      <c r="I98" s="3">
        <v>522500</v>
      </c>
      <c r="J98" s="3">
        <f t="shared" ref="J98:J129" si="3">H98*I98</f>
        <v>522500</v>
      </c>
      <c r="K98" s="2">
        <v>29223771581</v>
      </c>
      <c r="L98" s="2">
        <v>286224202986</v>
      </c>
    </row>
    <row r="99" spans="1:12" ht="28" x14ac:dyDescent="0.2">
      <c r="A99" s="2" t="s">
        <v>462</v>
      </c>
      <c r="B99" s="2" t="s">
        <v>463</v>
      </c>
      <c r="C99" s="2" t="s">
        <v>17</v>
      </c>
      <c r="D99" s="2">
        <v>0</v>
      </c>
      <c r="E99" s="2" t="s">
        <v>638</v>
      </c>
      <c r="F99" s="2" t="s">
        <v>572</v>
      </c>
      <c r="G99" s="6" t="s">
        <v>645</v>
      </c>
      <c r="H99" s="2">
        <v>1</v>
      </c>
      <c r="I99" s="3">
        <v>522500</v>
      </c>
      <c r="J99" s="3">
        <f t="shared" si="3"/>
        <v>522500</v>
      </c>
      <c r="K99" s="2">
        <v>29223771581</v>
      </c>
      <c r="L99" s="2">
        <v>286224202984</v>
      </c>
    </row>
    <row r="100" spans="1:12" ht="28" x14ac:dyDescent="0.2">
      <c r="A100" s="2" t="s">
        <v>472</v>
      </c>
      <c r="B100" s="2" t="s">
        <v>473</v>
      </c>
      <c r="C100" s="2" t="s">
        <v>17</v>
      </c>
      <c r="D100" s="2">
        <v>0</v>
      </c>
      <c r="E100" s="2" t="s">
        <v>646</v>
      </c>
      <c r="F100" s="2" t="s">
        <v>572</v>
      </c>
      <c r="G100" s="6" t="s">
        <v>645</v>
      </c>
      <c r="H100" s="2">
        <v>1</v>
      </c>
      <c r="I100" s="3">
        <v>625000</v>
      </c>
      <c r="J100" s="3">
        <f t="shared" si="3"/>
        <v>625000</v>
      </c>
      <c r="K100" s="2">
        <v>29223771581</v>
      </c>
      <c r="L100" s="2">
        <v>286224202987</v>
      </c>
    </row>
    <row r="101" spans="1:12" ht="28" x14ac:dyDescent="0.2">
      <c r="A101" s="2" t="s">
        <v>467</v>
      </c>
      <c r="B101" s="2" t="s">
        <v>468</v>
      </c>
      <c r="C101" s="2" t="s">
        <v>17</v>
      </c>
      <c r="D101" s="2">
        <v>0</v>
      </c>
      <c r="E101" s="2" t="s">
        <v>584</v>
      </c>
      <c r="F101" s="2" t="s">
        <v>572</v>
      </c>
      <c r="G101" s="6" t="s">
        <v>645</v>
      </c>
      <c r="H101" s="2">
        <v>1</v>
      </c>
      <c r="I101" s="3">
        <v>587500</v>
      </c>
      <c r="J101" s="3">
        <f t="shared" si="3"/>
        <v>587500</v>
      </c>
      <c r="K101" s="2">
        <v>29223771581</v>
      </c>
      <c r="L101" s="2">
        <v>286224202985</v>
      </c>
    </row>
    <row r="102" spans="1:12" ht="28" x14ac:dyDescent="0.2">
      <c r="A102" s="8" t="s">
        <v>477</v>
      </c>
      <c r="B102" s="8" t="s">
        <v>478</v>
      </c>
      <c r="C102" s="8" t="s">
        <v>116</v>
      </c>
      <c r="D102" s="8">
        <v>0</v>
      </c>
      <c r="E102" s="8" t="s">
        <v>594</v>
      </c>
      <c r="F102" s="8" t="s">
        <v>595</v>
      </c>
      <c r="G102" s="10" t="s">
        <v>644</v>
      </c>
      <c r="H102" s="8">
        <v>1</v>
      </c>
      <c r="I102" s="9">
        <v>4575000</v>
      </c>
      <c r="J102" s="9">
        <f t="shared" si="3"/>
        <v>4575000</v>
      </c>
      <c r="K102" s="8">
        <v>24893009852</v>
      </c>
      <c r="L102" s="8">
        <v>242969379384</v>
      </c>
    </row>
    <row r="103" spans="1:12" ht="28" x14ac:dyDescent="0.2">
      <c r="A103" s="8" t="s">
        <v>477</v>
      </c>
      <c r="B103" s="8" t="s">
        <v>478</v>
      </c>
      <c r="C103" s="8" t="s">
        <v>116</v>
      </c>
      <c r="D103" s="8">
        <v>1</v>
      </c>
      <c r="E103" s="8" t="s">
        <v>618</v>
      </c>
      <c r="F103" s="8" t="s">
        <v>572</v>
      </c>
      <c r="G103" s="10" t="s">
        <v>645</v>
      </c>
      <c r="H103" s="8">
        <v>1</v>
      </c>
      <c r="I103" s="9"/>
      <c r="J103" s="9">
        <f t="shared" si="3"/>
        <v>0</v>
      </c>
      <c r="K103" s="8">
        <v>29223771581</v>
      </c>
      <c r="L103" s="8">
        <v>286224202988</v>
      </c>
    </row>
    <row r="104" spans="1:12" ht="28" x14ac:dyDescent="0.2">
      <c r="A104" s="2" t="s">
        <v>482</v>
      </c>
      <c r="B104" s="2" t="s">
        <v>483</v>
      </c>
      <c r="C104" s="2" t="s">
        <v>17</v>
      </c>
      <c r="D104" s="2">
        <v>0</v>
      </c>
      <c r="E104" s="2" t="s">
        <v>638</v>
      </c>
      <c r="F104" s="2" t="s">
        <v>572</v>
      </c>
      <c r="G104" s="6" t="s">
        <v>645</v>
      </c>
      <c r="H104" s="2">
        <v>1</v>
      </c>
      <c r="I104" s="3">
        <v>522500</v>
      </c>
      <c r="J104" s="3">
        <f t="shared" si="3"/>
        <v>522500</v>
      </c>
      <c r="K104" s="2">
        <v>29223771581</v>
      </c>
      <c r="L104" s="2">
        <v>286224202984</v>
      </c>
    </row>
    <row r="105" spans="1:12" ht="28" x14ac:dyDescent="0.2">
      <c r="A105" s="2" t="s">
        <v>487</v>
      </c>
      <c r="B105" s="2" t="s">
        <v>488</v>
      </c>
      <c r="C105" s="2" t="s">
        <v>17</v>
      </c>
      <c r="D105" s="2">
        <v>0</v>
      </c>
      <c r="E105" s="2" t="s">
        <v>615</v>
      </c>
      <c r="F105" s="2" t="s">
        <v>572</v>
      </c>
      <c r="G105" s="6" t="s">
        <v>645</v>
      </c>
      <c r="H105" s="2">
        <v>1</v>
      </c>
      <c r="I105" s="3">
        <v>418000</v>
      </c>
      <c r="J105" s="3">
        <f t="shared" si="3"/>
        <v>418000</v>
      </c>
      <c r="K105" s="2">
        <v>29223771581</v>
      </c>
      <c r="L105" s="2">
        <v>286224202982</v>
      </c>
    </row>
    <row r="106" spans="1:12" ht="28" x14ac:dyDescent="0.2">
      <c r="A106" s="2" t="s">
        <v>491</v>
      </c>
      <c r="B106" s="2" t="s">
        <v>478</v>
      </c>
      <c r="C106" s="2" t="s">
        <v>17</v>
      </c>
      <c r="D106" s="2">
        <v>0</v>
      </c>
      <c r="E106" s="2" t="s">
        <v>594</v>
      </c>
      <c r="F106" s="2" t="s">
        <v>595</v>
      </c>
      <c r="G106" s="6" t="s">
        <v>644</v>
      </c>
      <c r="H106" s="2">
        <v>1</v>
      </c>
      <c r="I106" s="3">
        <v>4575000</v>
      </c>
      <c r="J106" s="3">
        <f t="shared" si="3"/>
        <v>4575000</v>
      </c>
      <c r="K106" s="2">
        <v>24893009852</v>
      </c>
      <c r="L106" s="2">
        <v>242969379384</v>
      </c>
    </row>
    <row r="107" spans="1:12" ht="28" x14ac:dyDescent="0.2">
      <c r="A107" s="2" t="s">
        <v>491</v>
      </c>
      <c r="B107" s="2" t="s">
        <v>478</v>
      </c>
      <c r="C107" s="2" t="s">
        <v>17</v>
      </c>
      <c r="D107" s="2">
        <v>1</v>
      </c>
      <c r="E107" s="2" t="s">
        <v>618</v>
      </c>
      <c r="F107" s="2" t="s">
        <v>572</v>
      </c>
      <c r="G107" s="6" t="s">
        <v>645</v>
      </c>
      <c r="H107" s="2">
        <v>1</v>
      </c>
      <c r="I107" s="3"/>
      <c r="J107" s="3">
        <f t="shared" si="3"/>
        <v>0</v>
      </c>
      <c r="K107" s="2">
        <v>29223771581</v>
      </c>
      <c r="L107" s="2">
        <v>286224202988</v>
      </c>
    </row>
    <row r="108" spans="1:12" ht="28" x14ac:dyDescent="0.2">
      <c r="A108" s="2" t="s">
        <v>495</v>
      </c>
      <c r="B108" s="2" t="s">
        <v>496</v>
      </c>
      <c r="C108" s="2" t="s">
        <v>17</v>
      </c>
      <c r="D108" s="2">
        <v>0</v>
      </c>
      <c r="E108" s="2" t="s">
        <v>647</v>
      </c>
      <c r="F108" s="2" t="s">
        <v>603</v>
      </c>
      <c r="G108" s="6" t="s">
        <v>648</v>
      </c>
      <c r="H108" s="2">
        <v>1</v>
      </c>
      <c r="I108" s="3">
        <v>525000</v>
      </c>
      <c r="J108" s="3">
        <f t="shared" si="3"/>
        <v>525000</v>
      </c>
      <c r="K108" s="2">
        <v>29183296960</v>
      </c>
      <c r="L108" s="2">
        <v>258170662945</v>
      </c>
    </row>
    <row r="109" spans="1:12" ht="28" x14ac:dyDescent="0.2">
      <c r="A109" s="2" t="s">
        <v>498</v>
      </c>
      <c r="B109" s="2" t="s">
        <v>499</v>
      </c>
      <c r="C109" s="2" t="s">
        <v>17</v>
      </c>
      <c r="D109" s="2">
        <v>0</v>
      </c>
      <c r="E109" s="2" t="s">
        <v>584</v>
      </c>
      <c r="F109" s="2" t="s">
        <v>572</v>
      </c>
      <c r="G109" s="6" t="s">
        <v>645</v>
      </c>
      <c r="H109" s="2">
        <v>1</v>
      </c>
      <c r="I109" s="3">
        <v>937500</v>
      </c>
      <c r="J109" s="3">
        <f t="shared" si="3"/>
        <v>937500</v>
      </c>
      <c r="K109" s="2">
        <v>29223771581</v>
      </c>
      <c r="L109" s="2">
        <v>286224202985</v>
      </c>
    </row>
    <row r="110" spans="1:12" ht="28" x14ac:dyDescent="0.2">
      <c r="A110" s="2" t="s">
        <v>498</v>
      </c>
      <c r="B110" s="2" t="s">
        <v>499</v>
      </c>
      <c r="C110" s="2" t="s">
        <v>17</v>
      </c>
      <c r="D110" s="2">
        <v>1</v>
      </c>
      <c r="E110" s="2" t="s">
        <v>592</v>
      </c>
      <c r="F110" s="2" t="s">
        <v>572</v>
      </c>
      <c r="G110" s="6" t="s">
        <v>645</v>
      </c>
      <c r="H110" s="2">
        <v>1</v>
      </c>
      <c r="I110" s="3">
        <v>937500</v>
      </c>
      <c r="J110" s="3">
        <f t="shared" si="3"/>
        <v>937500</v>
      </c>
      <c r="K110" s="2">
        <v>29223771581</v>
      </c>
      <c r="L110" s="2">
        <v>286224202979</v>
      </c>
    </row>
    <row r="111" spans="1:12" ht="28" x14ac:dyDescent="0.2">
      <c r="A111" s="8" t="s">
        <v>503</v>
      </c>
      <c r="B111" s="8" t="s">
        <v>504</v>
      </c>
      <c r="C111" s="8" t="s">
        <v>116</v>
      </c>
      <c r="D111" s="8">
        <v>0</v>
      </c>
      <c r="E111" s="8" t="s">
        <v>646</v>
      </c>
      <c r="F111" s="8" t="s">
        <v>572</v>
      </c>
      <c r="G111" s="10" t="s">
        <v>649</v>
      </c>
      <c r="H111" s="8">
        <v>1</v>
      </c>
      <c r="I111" s="9">
        <v>900000</v>
      </c>
      <c r="J111" s="9">
        <f t="shared" si="3"/>
        <v>900000</v>
      </c>
      <c r="K111" s="8">
        <v>29223771581</v>
      </c>
      <c r="L111" s="8">
        <v>286224202987</v>
      </c>
    </row>
    <row r="112" spans="1:12" ht="28" x14ac:dyDescent="0.2">
      <c r="A112" s="2" t="s">
        <v>507</v>
      </c>
      <c r="B112" s="2" t="s">
        <v>508</v>
      </c>
      <c r="C112" s="2" t="s">
        <v>17</v>
      </c>
      <c r="D112" s="2">
        <v>0</v>
      </c>
      <c r="E112" s="2" t="s">
        <v>586</v>
      </c>
      <c r="F112" s="2" t="s">
        <v>572</v>
      </c>
      <c r="G112" s="6" t="s">
        <v>649</v>
      </c>
      <c r="H112" s="2">
        <v>1</v>
      </c>
      <c r="I112" s="3">
        <v>900000</v>
      </c>
      <c r="J112" s="3">
        <f t="shared" si="3"/>
        <v>900000</v>
      </c>
      <c r="K112" s="2">
        <v>29223771581</v>
      </c>
      <c r="L112" s="2">
        <v>286224202981</v>
      </c>
    </row>
    <row r="113" spans="1:12" ht="28" x14ac:dyDescent="0.2">
      <c r="A113" s="2" t="s">
        <v>513</v>
      </c>
      <c r="B113" s="2" t="s">
        <v>504</v>
      </c>
      <c r="C113" s="2" t="s">
        <v>17</v>
      </c>
      <c r="D113" s="2">
        <v>0</v>
      </c>
      <c r="E113" s="2" t="s">
        <v>646</v>
      </c>
      <c r="F113" s="2" t="s">
        <v>572</v>
      </c>
      <c r="G113" s="6" t="s">
        <v>649</v>
      </c>
      <c r="H113" s="2">
        <v>1</v>
      </c>
      <c r="I113" s="3">
        <v>900000</v>
      </c>
      <c r="J113" s="3">
        <f t="shared" si="3"/>
        <v>900000</v>
      </c>
      <c r="K113" s="2">
        <v>29223771581</v>
      </c>
      <c r="L113" s="2">
        <v>286224202987</v>
      </c>
    </row>
    <row r="114" spans="1:12" ht="28" x14ac:dyDescent="0.2">
      <c r="A114" s="2" t="s">
        <v>516</v>
      </c>
      <c r="B114" s="2" t="s">
        <v>517</v>
      </c>
      <c r="C114" s="2" t="s">
        <v>17</v>
      </c>
      <c r="D114" s="2">
        <v>0</v>
      </c>
      <c r="E114" s="2" t="s">
        <v>581</v>
      </c>
      <c r="F114" s="2" t="s">
        <v>582</v>
      </c>
      <c r="G114" s="6" t="s">
        <v>630</v>
      </c>
      <c r="H114" s="2">
        <v>1</v>
      </c>
      <c r="I114" s="3">
        <v>780000</v>
      </c>
      <c r="J114" s="3">
        <f t="shared" si="3"/>
        <v>780000</v>
      </c>
      <c r="K114" s="2">
        <v>27781026451</v>
      </c>
      <c r="L114" s="2">
        <v>128273211360</v>
      </c>
    </row>
    <row r="115" spans="1:12" ht="28" x14ac:dyDescent="0.2">
      <c r="A115" s="2" t="s">
        <v>522</v>
      </c>
      <c r="B115" s="2" t="s">
        <v>523</v>
      </c>
      <c r="C115" s="2" t="s">
        <v>17</v>
      </c>
      <c r="D115" s="2">
        <v>0</v>
      </c>
      <c r="E115" s="2" t="s">
        <v>571</v>
      </c>
      <c r="F115" s="2" t="s">
        <v>572</v>
      </c>
      <c r="G115" s="6" t="s">
        <v>649</v>
      </c>
      <c r="H115" s="2">
        <v>1</v>
      </c>
      <c r="I115" s="3">
        <v>900000</v>
      </c>
      <c r="J115" s="3">
        <f t="shared" si="3"/>
        <v>900000</v>
      </c>
      <c r="K115" s="2">
        <v>29223771581</v>
      </c>
      <c r="L115" s="2">
        <v>286224202983</v>
      </c>
    </row>
    <row r="116" spans="1:12" ht="28" x14ac:dyDescent="0.2">
      <c r="A116" s="2" t="s">
        <v>526</v>
      </c>
      <c r="B116" s="2" t="s">
        <v>527</v>
      </c>
      <c r="C116" s="2" t="s">
        <v>17</v>
      </c>
      <c r="D116" s="2">
        <v>0</v>
      </c>
      <c r="E116" s="2" t="s">
        <v>571</v>
      </c>
      <c r="F116" s="2" t="s">
        <v>572</v>
      </c>
      <c r="G116" s="6" t="s">
        <v>649</v>
      </c>
      <c r="H116" s="2">
        <v>1</v>
      </c>
      <c r="I116" s="3">
        <v>937500</v>
      </c>
      <c r="J116" s="3">
        <f t="shared" si="3"/>
        <v>937500</v>
      </c>
      <c r="K116" s="2">
        <v>29223771581</v>
      </c>
      <c r="L116" s="2">
        <v>286224202983</v>
      </c>
    </row>
    <row r="117" spans="1:12" ht="28" x14ac:dyDescent="0.2">
      <c r="A117" s="8" t="s">
        <v>530</v>
      </c>
      <c r="B117" s="8" t="s">
        <v>531</v>
      </c>
      <c r="C117" s="8" t="s">
        <v>116</v>
      </c>
      <c r="D117" s="8">
        <v>0</v>
      </c>
      <c r="E117" s="8" t="s">
        <v>650</v>
      </c>
      <c r="F117" s="8" t="s">
        <v>595</v>
      </c>
      <c r="G117" s="10" t="s">
        <v>644</v>
      </c>
      <c r="H117" s="8">
        <v>1</v>
      </c>
      <c r="I117" s="9">
        <v>4290000</v>
      </c>
      <c r="J117" s="9">
        <f t="shared" si="3"/>
        <v>4290000</v>
      </c>
      <c r="K117" s="8">
        <v>24893009852</v>
      </c>
      <c r="L117" s="8">
        <v>242969379381</v>
      </c>
    </row>
    <row r="118" spans="1:12" ht="28" x14ac:dyDescent="0.2">
      <c r="A118" s="8" t="s">
        <v>530</v>
      </c>
      <c r="B118" s="8" t="s">
        <v>531</v>
      </c>
      <c r="C118" s="8" t="s">
        <v>116</v>
      </c>
      <c r="D118" s="8">
        <v>1</v>
      </c>
      <c r="E118" s="8" t="s">
        <v>617</v>
      </c>
      <c r="F118" s="8" t="s">
        <v>572</v>
      </c>
      <c r="G118" s="10" t="s">
        <v>649</v>
      </c>
      <c r="H118" s="8">
        <v>1</v>
      </c>
      <c r="I118" s="9"/>
      <c r="J118" s="9">
        <f t="shared" si="3"/>
        <v>0</v>
      </c>
      <c r="K118" s="8">
        <v>29223771581</v>
      </c>
      <c r="L118" s="8">
        <v>286224202986</v>
      </c>
    </row>
    <row r="119" spans="1:12" ht="28" x14ac:dyDescent="0.2">
      <c r="A119" s="8" t="s">
        <v>534</v>
      </c>
      <c r="B119" s="8" t="s">
        <v>531</v>
      </c>
      <c r="C119" s="8" t="s">
        <v>116</v>
      </c>
      <c r="D119" s="8">
        <v>0</v>
      </c>
      <c r="E119" s="8" t="s">
        <v>650</v>
      </c>
      <c r="F119" s="8" t="s">
        <v>595</v>
      </c>
      <c r="G119" s="10" t="s">
        <v>644</v>
      </c>
      <c r="H119" s="8">
        <v>1</v>
      </c>
      <c r="I119" s="9">
        <v>4290000</v>
      </c>
      <c r="J119" s="9">
        <f t="shared" si="3"/>
        <v>4290000</v>
      </c>
      <c r="K119" s="8">
        <v>24893009852</v>
      </c>
      <c r="L119" s="8">
        <v>242969379381</v>
      </c>
    </row>
    <row r="120" spans="1:12" ht="28" x14ac:dyDescent="0.2">
      <c r="A120" s="8" t="s">
        <v>534</v>
      </c>
      <c r="B120" s="8" t="s">
        <v>531</v>
      </c>
      <c r="C120" s="8" t="s">
        <v>116</v>
      </c>
      <c r="D120" s="8">
        <v>1</v>
      </c>
      <c r="E120" s="8" t="s">
        <v>617</v>
      </c>
      <c r="F120" s="8" t="s">
        <v>572</v>
      </c>
      <c r="G120" s="10" t="s">
        <v>649</v>
      </c>
      <c r="H120" s="8">
        <v>1</v>
      </c>
      <c r="I120" s="9"/>
      <c r="J120" s="9">
        <f t="shared" si="3"/>
        <v>0</v>
      </c>
      <c r="K120" s="8">
        <v>29223771581</v>
      </c>
      <c r="L120" s="8">
        <v>286224202986</v>
      </c>
    </row>
    <row r="121" spans="1:12" ht="28" x14ac:dyDescent="0.2">
      <c r="A121" s="2" t="s">
        <v>537</v>
      </c>
      <c r="B121" s="2" t="s">
        <v>538</v>
      </c>
      <c r="C121" s="2" t="s">
        <v>17</v>
      </c>
      <c r="D121" s="2">
        <v>0</v>
      </c>
      <c r="E121" s="2" t="s">
        <v>647</v>
      </c>
      <c r="F121" s="2" t="s">
        <v>603</v>
      </c>
      <c r="G121" s="6" t="s">
        <v>648</v>
      </c>
      <c r="H121" s="2">
        <v>1</v>
      </c>
      <c r="I121" s="3">
        <v>495000</v>
      </c>
      <c r="J121" s="3">
        <f t="shared" si="3"/>
        <v>495000</v>
      </c>
      <c r="K121" s="2">
        <v>29183296960</v>
      </c>
      <c r="L121" s="2">
        <v>258170662945</v>
      </c>
    </row>
    <row r="122" spans="1:12" ht="28" x14ac:dyDescent="0.2">
      <c r="A122" s="2" t="s">
        <v>541</v>
      </c>
      <c r="B122" s="2" t="s">
        <v>542</v>
      </c>
      <c r="C122" s="2" t="s">
        <v>17</v>
      </c>
      <c r="D122" s="2">
        <v>0</v>
      </c>
      <c r="E122" s="2" t="s">
        <v>651</v>
      </c>
      <c r="F122" s="2" t="s">
        <v>603</v>
      </c>
      <c r="G122" s="6" t="s">
        <v>648</v>
      </c>
      <c r="H122" s="2">
        <v>1</v>
      </c>
      <c r="I122" s="3">
        <v>446200</v>
      </c>
      <c r="J122" s="3">
        <f t="shared" si="3"/>
        <v>446200</v>
      </c>
      <c r="K122" s="2">
        <v>29183296960</v>
      </c>
      <c r="L122" s="2">
        <v>258170662949</v>
      </c>
    </row>
    <row r="123" spans="1:12" ht="28" x14ac:dyDescent="0.2">
      <c r="A123" s="2" t="s">
        <v>543</v>
      </c>
      <c r="B123" s="2" t="s">
        <v>544</v>
      </c>
      <c r="C123" s="2" t="s">
        <v>17</v>
      </c>
      <c r="D123" s="2">
        <v>0</v>
      </c>
      <c r="E123" s="2" t="s">
        <v>584</v>
      </c>
      <c r="F123" s="2" t="s">
        <v>572</v>
      </c>
      <c r="G123" s="6" t="s">
        <v>649</v>
      </c>
      <c r="H123" s="2">
        <v>1</v>
      </c>
      <c r="I123" s="3">
        <v>937500</v>
      </c>
      <c r="J123" s="3">
        <f t="shared" si="3"/>
        <v>937500</v>
      </c>
      <c r="K123" s="2">
        <v>29223771581</v>
      </c>
      <c r="L123" s="2">
        <v>286224202985</v>
      </c>
    </row>
    <row r="124" spans="1:12" ht="28" x14ac:dyDescent="0.2">
      <c r="A124" s="2" t="s">
        <v>543</v>
      </c>
      <c r="B124" s="2" t="s">
        <v>544</v>
      </c>
      <c r="C124" s="2" t="s">
        <v>17</v>
      </c>
      <c r="D124" s="2">
        <v>1</v>
      </c>
      <c r="E124" s="2" t="s">
        <v>592</v>
      </c>
      <c r="F124" s="2" t="s">
        <v>572</v>
      </c>
      <c r="G124" s="6" t="s">
        <v>649</v>
      </c>
      <c r="H124" s="2">
        <v>1</v>
      </c>
      <c r="I124" s="3">
        <v>937500</v>
      </c>
      <c r="J124" s="3">
        <f t="shared" si="3"/>
        <v>937500</v>
      </c>
      <c r="K124" s="2">
        <v>29223771581</v>
      </c>
      <c r="L124" s="2">
        <v>286224202979</v>
      </c>
    </row>
    <row r="125" spans="1:12" ht="28" x14ac:dyDescent="0.2">
      <c r="A125" s="2" t="s">
        <v>543</v>
      </c>
      <c r="B125" s="2" t="s">
        <v>544</v>
      </c>
      <c r="C125" s="2" t="s">
        <v>17</v>
      </c>
      <c r="D125" s="2">
        <v>2</v>
      </c>
      <c r="E125" s="2" t="s">
        <v>638</v>
      </c>
      <c r="F125" s="2" t="s">
        <v>572</v>
      </c>
      <c r="G125" s="6" t="s">
        <v>649</v>
      </c>
      <c r="H125" s="2">
        <v>1</v>
      </c>
      <c r="I125" s="3">
        <v>712500</v>
      </c>
      <c r="J125" s="3">
        <f t="shared" si="3"/>
        <v>712500</v>
      </c>
      <c r="K125" s="2">
        <v>29223771581</v>
      </c>
      <c r="L125" s="2">
        <v>286224202984</v>
      </c>
    </row>
    <row r="126" spans="1:12" ht="28" x14ac:dyDescent="0.2">
      <c r="A126" s="2" t="s">
        <v>543</v>
      </c>
      <c r="B126" s="2" t="s">
        <v>544</v>
      </c>
      <c r="C126" s="2" t="s">
        <v>17</v>
      </c>
      <c r="D126" s="2">
        <v>3</v>
      </c>
      <c r="E126" s="2" t="s">
        <v>615</v>
      </c>
      <c r="F126" s="2" t="s">
        <v>572</v>
      </c>
      <c r="G126" s="6" t="s">
        <v>649</v>
      </c>
      <c r="H126" s="2">
        <v>1</v>
      </c>
      <c r="I126" s="3">
        <v>712500</v>
      </c>
      <c r="J126" s="3">
        <f t="shared" si="3"/>
        <v>712500</v>
      </c>
      <c r="K126" s="2">
        <v>29223771581</v>
      </c>
      <c r="L126" s="2">
        <v>286224202982</v>
      </c>
    </row>
    <row r="127" spans="1:12" ht="28" x14ac:dyDescent="0.2">
      <c r="A127" s="2" t="s">
        <v>547</v>
      </c>
      <c r="B127" s="2" t="s">
        <v>548</v>
      </c>
      <c r="C127" s="2" t="s">
        <v>551</v>
      </c>
      <c r="D127" s="2">
        <v>0</v>
      </c>
      <c r="E127" s="2" t="s">
        <v>638</v>
      </c>
      <c r="F127" s="2" t="s">
        <v>572</v>
      </c>
      <c r="G127" s="6" t="s">
        <v>649</v>
      </c>
      <c r="H127" s="2">
        <v>1</v>
      </c>
      <c r="I127" s="3">
        <v>726750</v>
      </c>
      <c r="J127" s="3">
        <f t="shared" si="3"/>
        <v>726750</v>
      </c>
      <c r="K127" s="2">
        <v>29223771581</v>
      </c>
      <c r="L127" s="2">
        <v>286224202984</v>
      </c>
    </row>
    <row r="128" spans="1:12" x14ac:dyDescent="0.2">
      <c r="G128" s="11" t="s">
        <v>652</v>
      </c>
      <c r="H128" s="13">
        <f>SUM(H2:H127)</f>
        <v>128</v>
      </c>
      <c r="J128" s="12">
        <f>SUM(J2:J127)</f>
        <v>127493766</v>
      </c>
    </row>
    <row r="130" spans="1:12" ht="20" customHeight="1" x14ac:dyDescent="0.2">
      <c r="A130" s="23" t="s">
        <v>555</v>
      </c>
      <c r="B130" s="24"/>
      <c r="C130" s="24"/>
      <c r="D130" s="24"/>
      <c r="E130" s="24"/>
      <c r="F130" s="24"/>
      <c r="G130" s="24"/>
      <c r="H130" s="24"/>
      <c r="I130" s="24"/>
      <c r="J130" s="24"/>
      <c r="K130" s="24"/>
      <c r="L130" s="24"/>
    </row>
    <row r="131" spans="1:12" ht="30" customHeight="1" x14ac:dyDescent="0.2">
      <c r="A131" s="25" t="s">
        <v>653</v>
      </c>
      <c r="B131" s="24"/>
      <c r="C131" s="24"/>
      <c r="D131" s="24"/>
      <c r="E131" s="24"/>
      <c r="F131" s="24"/>
      <c r="G131" s="24"/>
      <c r="H131" s="24"/>
      <c r="I131" s="24"/>
      <c r="J131" s="24"/>
      <c r="K131" s="24"/>
      <c r="L131" s="24"/>
    </row>
    <row r="132" spans="1:12" ht="30" customHeight="1" x14ac:dyDescent="0.2">
      <c r="A132" s="25" t="s">
        <v>654</v>
      </c>
      <c r="B132" s="24"/>
      <c r="C132" s="24"/>
      <c r="D132" s="24"/>
      <c r="E132" s="24"/>
      <c r="F132" s="24"/>
      <c r="G132" s="24"/>
      <c r="H132" s="24"/>
      <c r="I132" s="24"/>
      <c r="J132" s="24"/>
      <c r="K132" s="24"/>
      <c r="L132" s="24"/>
    </row>
    <row r="133" spans="1:12" ht="30" customHeight="1" x14ac:dyDescent="0.2">
      <c r="A133" s="25" t="s">
        <v>655</v>
      </c>
      <c r="B133" s="24"/>
      <c r="C133" s="24"/>
      <c r="D133" s="24"/>
      <c r="E133" s="24"/>
      <c r="F133" s="24"/>
      <c r="G133" s="24"/>
      <c r="H133" s="24"/>
      <c r="I133" s="24"/>
      <c r="J133" s="24"/>
      <c r="K133" s="24"/>
      <c r="L133" s="24"/>
    </row>
  </sheetData>
  <mergeCells count="4">
    <mergeCell ref="A130:L130"/>
    <mergeCell ref="A131:L131"/>
    <mergeCell ref="A133:L133"/>
    <mergeCell ref="A132:L13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
  <sheetViews>
    <sheetView tabSelected="1" zoomScale="136" workbookViewId="0">
      <pane ySplit="1" topLeftCell="A2" activePane="bottomLeft" state="frozen"/>
      <selection pane="bottomLeft"/>
    </sheetView>
  </sheetViews>
  <sheetFormatPr baseColWidth="10" defaultColWidth="8.83203125" defaultRowHeight="15" x14ac:dyDescent="0.2"/>
  <cols>
    <col min="1" max="1" width="14" customWidth="1"/>
    <col min="2" max="2" width="9" customWidth="1"/>
    <col min="3" max="3" width="11" customWidth="1"/>
    <col min="4" max="4" width="12" customWidth="1"/>
    <col min="5" max="5" width="10" customWidth="1"/>
    <col min="6" max="6" width="12" customWidth="1"/>
    <col min="7" max="7" width="18" customWidth="1"/>
    <col min="8" max="8" width="20" customWidth="1"/>
    <col min="9" max="9" width="11" customWidth="1"/>
  </cols>
  <sheetData>
    <row r="1" spans="1:9" ht="34" customHeight="1" x14ac:dyDescent="0.2">
      <c r="A1" s="1" t="s">
        <v>656</v>
      </c>
      <c r="B1" s="1" t="s">
        <v>657</v>
      </c>
      <c r="C1" s="1" t="s">
        <v>17</v>
      </c>
      <c r="D1" s="1" t="s">
        <v>551</v>
      </c>
      <c r="E1" s="1" t="s">
        <v>37</v>
      </c>
      <c r="F1" s="1" t="s">
        <v>116</v>
      </c>
      <c r="G1" s="1" t="s">
        <v>658</v>
      </c>
      <c r="H1" s="1" t="s">
        <v>659</v>
      </c>
      <c r="I1" s="1" t="s">
        <v>12</v>
      </c>
    </row>
    <row r="2" spans="1:9" x14ac:dyDescent="0.2">
      <c r="A2" s="2" t="s">
        <v>660</v>
      </c>
      <c r="B2" s="2">
        <v>3</v>
      </c>
      <c r="C2" s="2">
        <v>3</v>
      </c>
      <c r="D2" s="2">
        <v>0</v>
      </c>
      <c r="E2" s="2">
        <v>0</v>
      </c>
      <c r="F2" s="2">
        <v>0</v>
      </c>
      <c r="G2" s="3">
        <v>1227352</v>
      </c>
      <c r="H2" s="3">
        <v>1227352</v>
      </c>
      <c r="I2" s="2">
        <v>4</v>
      </c>
    </row>
    <row r="3" spans="1:9" x14ac:dyDescent="0.2">
      <c r="A3" s="2" t="s">
        <v>661</v>
      </c>
      <c r="B3" s="2">
        <v>6</v>
      </c>
      <c r="C3" s="2">
        <v>5</v>
      </c>
      <c r="D3" s="2">
        <v>0</v>
      </c>
      <c r="E3" s="2">
        <v>1</v>
      </c>
      <c r="F3" s="2">
        <v>0</v>
      </c>
      <c r="G3" s="3">
        <v>1663900</v>
      </c>
      <c r="H3" s="3">
        <v>1663900</v>
      </c>
      <c r="I3" s="2">
        <v>6</v>
      </c>
    </row>
    <row r="4" spans="1:9" x14ac:dyDescent="0.2">
      <c r="A4" s="2" t="s">
        <v>662</v>
      </c>
      <c r="B4" s="2">
        <v>2</v>
      </c>
      <c r="C4" s="2">
        <v>1</v>
      </c>
      <c r="D4" s="2">
        <v>0</v>
      </c>
      <c r="E4" s="2">
        <v>1</v>
      </c>
      <c r="F4" s="2">
        <v>0</v>
      </c>
      <c r="G4" s="3">
        <v>325204</v>
      </c>
      <c r="H4" s="3">
        <v>325204</v>
      </c>
      <c r="I4" s="2">
        <v>2</v>
      </c>
    </row>
    <row r="5" spans="1:9" x14ac:dyDescent="0.2">
      <c r="A5" s="2" t="s">
        <v>663</v>
      </c>
      <c r="B5" s="2">
        <v>9</v>
      </c>
      <c r="C5" s="2">
        <v>6</v>
      </c>
      <c r="D5" s="2">
        <v>0</v>
      </c>
      <c r="E5" s="2">
        <v>1</v>
      </c>
      <c r="F5" s="2">
        <v>2</v>
      </c>
      <c r="G5" s="3">
        <v>2715422</v>
      </c>
      <c r="H5" s="3">
        <v>2332667</v>
      </c>
      <c r="I5" s="2">
        <v>10</v>
      </c>
    </row>
    <row r="6" spans="1:9" x14ac:dyDescent="0.2">
      <c r="A6" s="2" t="s">
        <v>664</v>
      </c>
      <c r="B6" s="2">
        <v>13</v>
      </c>
      <c r="C6" s="2">
        <v>7</v>
      </c>
      <c r="D6" s="2">
        <v>0</v>
      </c>
      <c r="E6" s="2">
        <v>4</v>
      </c>
      <c r="F6" s="2">
        <v>2</v>
      </c>
      <c r="G6" s="3">
        <v>13505272</v>
      </c>
      <c r="H6" s="3">
        <v>12847832</v>
      </c>
      <c r="I6" s="2">
        <v>15</v>
      </c>
    </row>
    <row r="7" spans="1:9" x14ac:dyDescent="0.2">
      <c r="A7" s="2" t="s">
        <v>665</v>
      </c>
      <c r="B7" s="2">
        <v>5</v>
      </c>
      <c r="C7" s="2">
        <v>4</v>
      </c>
      <c r="D7" s="2">
        <v>0</v>
      </c>
      <c r="E7" s="2">
        <v>1</v>
      </c>
      <c r="F7" s="2">
        <v>0</v>
      </c>
      <c r="G7" s="3">
        <v>2338854</v>
      </c>
      <c r="H7" s="3">
        <v>2338854</v>
      </c>
      <c r="I7" s="2">
        <v>5</v>
      </c>
    </row>
    <row r="8" spans="1:9" x14ac:dyDescent="0.2">
      <c r="A8" s="2" t="s">
        <v>666</v>
      </c>
      <c r="B8" s="2">
        <v>8</v>
      </c>
      <c r="C8" s="2">
        <v>6</v>
      </c>
      <c r="D8" s="2">
        <v>0</v>
      </c>
      <c r="E8" s="2">
        <v>0</v>
      </c>
      <c r="F8" s="2">
        <v>2</v>
      </c>
      <c r="G8" s="3">
        <v>8829515</v>
      </c>
      <c r="H8" s="3">
        <v>5302975</v>
      </c>
      <c r="I8" s="2">
        <v>8</v>
      </c>
    </row>
    <row r="9" spans="1:9" x14ac:dyDescent="0.2">
      <c r="A9" s="2" t="s">
        <v>667</v>
      </c>
      <c r="B9" s="2">
        <v>11</v>
      </c>
      <c r="C9" s="2">
        <v>8</v>
      </c>
      <c r="D9" s="2">
        <v>0</v>
      </c>
      <c r="E9" s="2">
        <v>3</v>
      </c>
      <c r="F9" s="2">
        <v>0</v>
      </c>
      <c r="G9" s="3">
        <v>16848754</v>
      </c>
      <c r="H9" s="3">
        <v>16848754</v>
      </c>
      <c r="I9" s="2">
        <v>12</v>
      </c>
    </row>
    <row r="10" spans="1:9" x14ac:dyDescent="0.2">
      <c r="A10" s="2" t="s">
        <v>668</v>
      </c>
      <c r="B10" s="2">
        <v>1</v>
      </c>
      <c r="C10" s="2">
        <v>1</v>
      </c>
      <c r="D10" s="2">
        <v>0</v>
      </c>
      <c r="E10" s="2">
        <v>0</v>
      </c>
      <c r="F10" s="2">
        <v>0</v>
      </c>
      <c r="G10" s="3">
        <v>375000</v>
      </c>
      <c r="H10" s="3">
        <v>375000</v>
      </c>
      <c r="I10" s="2">
        <v>1</v>
      </c>
    </row>
    <row r="11" spans="1:9" x14ac:dyDescent="0.2">
      <c r="A11" s="2" t="s">
        <v>669</v>
      </c>
      <c r="B11" s="2">
        <v>7</v>
      </c>
      <c r="C11" s="2">
        <v>2</v>
      </c>
      <c r="D11" s="2">
        <v>0</v>
      </c>
      <c r="E11" s="2">
        <v>2</v>
      </c>
      <c r="F11" s="2">
        <v>3</v>
      </c>
      <c r="G11" s="3">
        <v>6093972</v>
      </c>
      <c r="H11" s="3">
        <v>2542937</v>
      </c>
      <c r="I11" s="2">
        <v>7</v>
      </c>
    </row>
    <row r="12" spans="1:9" x14ac:dyDescent="0.2">
      <c r="A12" s="2" t="s">
        <v>670</v>
      </c>
      <c r="B12" s="2">
        <v>9</v>
      </c>
      <c r="C12" s="2">
        <v>6</v>
      </c>
      <c r="D12" s="2">
        <v>0</v>
      </c>
      <c r="E12" s="2">
        <v>1</v>
      </c>
      <c r="F12" s="2">
        <v>2</v>
      </c>
      <c r="G12" s="3">
        <v>6665040</v>
      </c>
      <c r="H12" s="3">
        <v>3783550</v>
      </c>
      <c r="I12" s="2">
        <v>11</v>
      </c>
    </row>
    <row r="13" spans="1:9" x14ac:dyDescent="0.2">
      <c r="A13" s="2" t="s">
        <v>671</v>
      </c>
      <c r="B13" s="2">
        <v>1</v>
      </c>
      <c r="C13" s="2">
        <v>1</v>
      </c>
      <c r="D13" s="2">
        <v>0</v>
      </c>
      <c r="E13" s="2">
        <v>0</v>
      </c>
      <c r="F13" s="2">
        <v>0</v>
      </c>
      <c r="G13" s="3">
        <v>1926990</v>
      </c>
      <c r="H13" s="3">
        <v>1926990</v>
      </c>
      <c r="I13" s="2">
        <v>2</v>
      </c>
    </row>
    <row r="14" spans="1:9" x14ac:dyDescent="0.2">
      <c r="A14" s="2" t="s">
        <v>672</v>
      </c>
      <c r="B14" s="2">
        <v>4</v>
      </c>
      <c r="C14" s="2">
        <v>3</v>
      </c>
      <c r="D14" s="2">
        <v>0</v>
      </c>
      <c r="E14" s="2">
        <v>0</v>
      </c>
      <c r="F14" s="2">
        <v>1</v>
      </c>
      <c r="G14" s="3">
        <v>4166980</v>
      </c>
      <c r="H14" s="3">
        <v>3539980</v>
      </c>
      <c r="I14" s="2">
        <v>6</v>
      </c>
    </row>
    <row r="15" spans="1:9" x14ac:dyDescent="0.2">
      <c r="A15" s="2" t="s">
        <v>673</v>
      </c>
      <c r="B15" s="2">
        <v>3</v>
      </c>
      <c r="C15" s="2">
        <v>3</v>
      </c>
      <c r="D15" s="2">
        <v>0</v>
      </c>
      <c r="E15" s="2">
        <v>0</v>
      </c>
      <c r="F15" s="2">
        <v>0</v>
      </c>
      <c r="G15" s="3">
        <v>617010</v>
      </c>
      <c r="H15" s="3">
        <v>617010</v>
      </c>
      <c r="I15" s="2">
        <v>3</v>
      </c>
    </row>
    <row r="16" spans="1:9" x14ac:dyDescent="0.2">
      <c r="A16" s="2" t="s">
        <v>674</v>
      </c>
      <c r="B16" s="2">
        <v>6</v>
      </c>
      <c r="C16" s="2">
        <v>5</v>
      </c>
      <c r="D16" s="2">
        <v>0</v>
      </c>
      <c r="E16" s="2">
        <v>0</v>
      </c>
      <c r="F16" s="2">
        <v>1</v>
      </c>
      <c r="G16" s="3">
        <v>2633266</v>
      </c>
      <c r="H16" s="3">
        <v>2253546</v>
      </c>
      <c r="I16" s="2">
        <v>6</v>
      </c>
    </row>
    <row r="17" spans="1:9" x14ac:dyDescent="0.2">
      <c r="A17" s="2" t="s">
        <v>675</v>
      </c>
      <c r="B17" s="2">
        <v>10</v>
      </c>
      <c r="C17" s="2">
        <v>9</v>
      </c>
      <c r="D17" s="2">
        <v>0</v>
      </c>
      <c r="E17" s="2">
        <v>0</v>
      </c>
      <c r="F17" s="2">
        <v>1</v>
      </c>
      <c r="G17" s="3">
        <v>10241510</v>
      </c>
      <c r="H17" s="3">
        <v>6969710</v>
      </c>
      <c r="I17" s="2">
        <v>13</v>
      </c>
    </row>
    <row r="18" spans="1:9" x14ac:dyDescent="0.2">
      <c r="A18" s="2" t="s">
        <v>676</v>
      </c>
      <c r="B18" s="2">
        <v>8</v>
      </c>
      <c r="C18" s="2">
        <v>5</v>
      </c>
      <c r="D18" s="2">
        <v>0</v>
      </c>
      <c r="E18" s="2">
        <v>0</v>
      </c>
      <c r="F18" s="2">
        <v>3</v>
      </c>
      <c r="G18" s="3">
        <v>10750257</v>
      </c>
      <c r="H18" s="3">
        <v>3379957</v>
      </c>
      <c r="I18" s="2">
        <v>10</v>
      </c>
    </row>
    <row r="19" spans="1:9" x14ac:dyDescent="0.2">
      <c r="A19" s="2" t="s">
        <v>677</v>
      </c>
      <c r="B19" s="2">
        <v>4</v>
      </c>
      <c r="C19" s="2">
        <v>3</v>
      </c>
      <c r="D19" s="2">
        <v>1</v>
      </c>
      <c r="E19" s="2">
        <v>0</v>
      </c>
      <c r="F19" s="2">
        <v>0</v>
      </c>
      <c r="G19" s="3">
        <v>1486613</v>
      </c>
      <c r="H19" s="3">
        <v>1486613</v>
      </c>
      <c r="I19" s="2">
        <v>7</v>
      </c>
    </row>
    <row r="20" spans="1:9" x14ac:dyDescent="0.2">
      <c r="A20" s="11" t="s">
        <v>652</v>
      </c>
      <c r="B20" s="13">
        <f t="shared" ref="B20:I20" si="0">SUM(B2:B19)</f>
        <v>110</v>
      </c>
      <c r="C20" s="13">
        <f t="shared" si="0"/>
        <v>78</v>
      </c>
      <c r="D20" s="13">
        <f t="shared" si="0"/>
        <v>1</v>
      </c>
      <c r="E20" s="13">
        <f t="shared" si="0"/>
        <v>14</v>
      </c>
      <c r="F20" s="13">
        <f t="shared" si="0"/>
        <v>17</v>
      </c>
      <c r="G20" s="12">
        <f t="shared" si="0"/>
        <v>92410911</v>
      </c>
      <c r="H20" s="12">
        <f t="shared" si="0"/>
        <v>69762831</v>
      </c>
      <c r="I20" s="13">
        <f t="shared" si="0"/>
        <v>128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8"/>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2" width="19" customWidth="1"/>
    <col min="3" max="3" width="13" customWidth="1"/>
    <col min="4" max="4" width="12" customWidth="1"/>
    <col min="5" max="5" width="15" customWidth="1"/>
    <col min="6" max="7" width="19" customWidth="1"/>
    <col min="8" max="8" width="11" customWidth="1"/>
    <col min="9" max="10" width="15" customWidth="1"/>
  </cols>
  <sheetData>
    <row r="1" spans="1:10" ht="34" customHeight="1" x14ac:dyDescent="0.2">
      <c r="A1" s="1" t="s">
        <v>1</v>
      </c>
      <c r="B1" s="1" t="s">
        <v>0</v>
      </c>
      <c r="C1" s="1" t="s">
        <v>561</v>
      </c>
      <c r="D1" s="1" t="s">
        <v>2</v>
      </c>
      <c r="E1" s="1" t="s">
        <v>7</v>
      </c>
      <c r="F1" s="1" t="s">
        <v>678</v>
      </c>
      <c r="G1" s="1" t="s">
        <v>679</v>
      </c>
      <c r="H1" s="1" t="s">
        <v>680</v>
      </c>
      <c r="I1" s="1" t="s">
        <v>681</v>
      </c>
      <c r="J1" s="1" t="s">
        <v>682</v>
      </c>
    </row>
    <row r="2" spans="1:10" x14ac:dyDescent="0.2">
      <c r="A2" s="8" t="s">
        <v>260</v>
      </c>
      <c r="B2" s="8" t="s">
        <v>259</v>
      </c>
      <c r="C2" s="8" t="s">
        <v>17</v>
      </c>
      <c r="D2" s="8" t="s">
        <v>261</v>
      </c>
      <c r="E2" s="9">
        <v>5653330</v>
      </c>
      <c r="F2" s="9">
        <v>6560185.1852000002</v>
      </c>
      <c r="G2" s="9">
        <v>0</v>
      </c>
      <c r="H2" s="8" t="s">
        <v>27</v>
      </c>
      <c r="I2" s="8" t="s">
        <v>683</v>
      </c>
      <c r="J2" s="14">
        <f t="shared" ref="J2:J33" si="0">IF(F2=0,"",E2/F2)</f>
        <v>0.86176378263743281</v>
      </c>
    </row>
    <row r="3" spans="1:10" x14ac:dyDescent="0.2">
      <c r="A3" s="8" t="s">
        <v>264</v>
      </c>
      <c r="B3" s="8" t="s">
        <v>263</v>
      </c>
      <c r="C3" s="8" t="s">
        <v>17</v>
      </c>
      <c r="D3" s="8" t="s">
        <v>261</v>
      </c>
      <c r="E3" s="9">
        <v>4341442</v>
      </c>
      <c r="F3" s="9">
        <v>4754629.6295999996</v>
      </c>
      <c r="G3" s="9">
        <v>0</v>
      </c>
      <c r="H3" s="8" t="s">
        <v>27</v>
      </c>
      <c r="I3" s="8" t="s">
        <v>683</v>
      </c>
      <c r="J3" s="14">
        <f t="shared" si="0"/>
        <v>0.91309783058017902</v>
      </c>
    </row>
    <row r="4" spans="1:10" x14ac:dyDescent="0.2">
      <c r="A4" s="8" t="s">
        <v>124</v>
      </c>
      <c r="B4" s="8" t="s">
        <v>123</v>
      </c>
      <c r="C4" s="8" t="s">
        <v>17</v>
      </c>
      <c r="D4" s="8" t="s">
        <v>125</v>
      </c>
      <c r="E4" s="9">
        <v>3727500</v>
      </c>
      <c r="F4" s="9">
        <v>3819444.4443999999</v>
      </c>
      <c r="G4" s="9">
        <v>0</v>
      </c>
      <c r="H4" s="8" t="s">
        <v>27</v>
      </c>
      <c r="I4" s="8" t="s">
        <v>683</v>
      </c>
      <c r="J4" s="14">
        <f t="shared" si="0"/>
        <v>0.975927272738629</v>
      </c>
    </row>
    <row r="5" spans="1:10" x14ac:dyDescent="0.2">
      <c r="A5" s="2" t="s">
        <v>531</v>
      </c>
      <c r="B5" s="2" t="s">
        <v>530</v>
      </c>
      <c r="C5" s="2" t="s">
        <v>116</v>
      </c>
      <c r="D5" s="2" t="s">
        <v>532</v>
      </c>
      <c r="E5" s="3">
        <v>3333150</v>
      </c>
      <c r="F5" s="3">
        <v>3810185.1852000002</v>
      </c>
      <c r="G5" s="3">
        <v>0</v>
      </c>
      <c r="H5" s="2" t="s">
        <v>27</v>
      </c>
      <c r="I5" s="2" t="s">
        <v>683</v>
      </c>
      <c r="J5" s="15">
        <f t="shared" si="0"/>
        <v>0.87479999999659852</v>
      </c>
    </row>
    <row r="6" spans="1:10" x14ac:dyDescent="0.2">
      <c r="A6" s="2" t="s">
        <v>531</v>
      </c>
      <c r="B6" s="2" t="s">
        <v>534</v>
      </c>
      <c r="C6" s="2" t="s">
        <v>116</v>
      </c>
      <c r="D6" s="2" t="s">
        <v>535</v>
      </c>
      <c r="E6" s="3">
        <v>3333150</v>
      </c>
      <c r="F6" s="3">
        <v>3810185.1852000002</v>
      </c>
      <c r="G6" s="3">
        <v>0</v>
      </c>
      <c r="H6" s="2" t="s">
        <v>27</v>
      </c>
      <c r="I6" s="2" t="s">
        <v>683</v>
      </c>
      <c r="J6" s="15">
        <f t="shared" si="0"/>
        <v>0.87479999999659852</v>
      </c>
    </row>
    <row r="7" spans="1:10" x14ac:dyDescent="0.2">
      <c r="A7" s="2" t="s">
        <v>478</v>
      </c>
      <c r="B7" s="2" t="s">
        <v>477</v>
      </c>
      <c r="C7" s="2" t="s">
        <v>116</v>
      </c>
      <c r="D7" s="2" t="s">
        <v>479</v>
      </c>
      <c r="E7" s="3">
        <v>3271800</v>
      </c>
      <c r="F7" s="3">
        <v>4236111.1111000003</v>
      </c>
      <c r="G7" s="3">
        <v>0</v>
      </c>
      <c r="H7" s="2" t="s">
        <v>27</v>
      </c>
      <c r="I7" s="2" t="s">
        <v>683</v>
      </c>
      <c r="J7" s="15">
        <f t="shared" si="0"/>
        <v>0.77235934426432085</v>
      </c>
    </row>
    <row r="8" spans="1:10" x14ac:dyDescent="0.2">
      <c r="A8" s="8" t="s">
        <v>478</v>
      </c>
      <c r="B8" s="8" t="s">
        <v>491</v>
      </c>
      <c r="C8" s="8" t="s">
        <v>17</v>
      </c>
      <c r="D8" s="8" t="s">
        <v>492</v>
      </c>
      <c r="E8" s="9">
        <v>3271800</v>
      </c>
      <c r="F8" s="9">
        <v>4236111.1111000003</v>
      </c>
      <c r="G8" s="9">
        <v>0</v>
      </c>
      <c r="H8" s="8" t="s">
        <v>27</v>
      </c>
      <c r="I8" s="8" t="s">
        <v>683</v>
      </c>
      <c r="J8" s="14">
        <f t="shared" si="0"/>
        <v>0.77235934426432085</v>
      </c>
    </row>
    <row r="9" spans="1:10" x14ac:dyDescent="0.2">
      <c r="A9" s="2" t="s">
        <v>231</v>
      </c>
      <c r="B9" s="2" t="s">
        <v>230</v>
      </c>
      <c r="C9" s="2" t="s">
        <v>116</v>
      </c>
      <c r="D9" s="2" t="s">
        <v>232</v>
      </c>
      <c r="E9" s="3">
        <v>3124915</v>
      </c>
      <c r="F9" s="3">
        <v>3288000</v>
      </c>
      <c r="G9" s="3">
        <v>0</v>
      </c>
      <c r="H9" s="2" t="s">
        <v>27</v>
      </c>
      <c r="I9" s="2" t="s">
        <v>683</v>
      </c>
      <c r="J9" s="15">
        <f t="shared" si="0"/>
        <v>0.95039993917274934</v>
      </c>
    </row>
    <row r="10" spans="1:10" x14ac:dyDescent="0.2">
      <c r="A10" s="8" t="s">
        <v>244</v>
      </c>
      <c r="B10" s="8" t="s">
        <v>243</v>
      </c>
      <c r="C10" s="8" t="s">
        <v>17</v>
      </c>
      <c r="D10" s="8" t="s">
        <v>241</v>
      </c>
      <c r="E10" s="9">
        <v>2628800</v>
      </c>
      <c r="F10" s="9">
        <v>2916666.6666999999</v>
      </c>
      <c r="G10" s="9">
        <v>0</v>
      </c>
      <c r="H10" s="8" t="s">
        <v>27</v>
      </c>
      <c r="I10" s="8" t="s">
        <v>683</v>
      </c>
      <c r="J10" s="14">
        <f t="shared" si="0"/>
        <v>0.90130285713255653</v>
      </c>
    </row>
    <row r="11" spans="1:10" x14ac:dyDescent="0.2">
      <c r="A11" s="2" t="s">
        <v>291</v>
      </c>
      <c r="B11" s="2" t="s">
        <v>290</v>
      </c>
      <c r="C11" s="2" t="s">
        <v>37</v>
      </c>
      <c r="D11" s="2" t="s">
        <v>271</v>
      </c>
      <c r="E11" s="3">
        <v>2501000</v>
      </c>
      <c r="F11" s="3">
        <v>2824074.0740999999</v>
      </c>
      <c r="G11" s="3">
        <v>0</v>
      </c>
      <c r="H11" s="2" t="s">
        <v>27</v>
      </c>
      <c r="I11" s="2" t="s">
        <v>683</v>
      </c>
      <c r="J11" s="15">
        <f t="shared" si="0"/>
        <v>0.88559999999187</v>
      </c>
    </row>
    <row r="12" spans="1:10" x14ac:dyDescent="0.2">
      <c r="A12" s="8" t="s">
        <v>394</v>
      </c>
      <c r="B12" s="8" t="s">
        <v>393</v>
      </c>
      <c r="C12" s="8" t="s">
        <v>17</v>
      </c>
      <c r="D12" s="8" t="s">
        <v>395</v>
      </c>
      <c r="E12" s="9">
        <v>2086180</v>
      </c>
      <c r="F12" s="9">
        <v>2598148.1480999999</v>
      </c>
      <c r="G12" s="9">
        <v>0</v>
      </c>
      <c r="H12" s="8" t="s">
        <v>27</v>
      </c>
      <c r="I12" s="8" t="s">
        <v>683</v>
      </c>
      <c r="J12" s="14">
        <f t="shared" si="0"/>
        <v>0.80294882396356149</v>
      </c>
    </row>
    <row r="13" spans="1:10" x14ac:dyDescent="0.2">
      <c r="A13" s="8" t="s">
        <v>143</v>
      </c>
      <c r="B13" s="8" t="s">
        <v>142</v>
      </c>
      <c r="C13" s="8" t="s">
        <v>17</v>
      </c>
      <c r="D13" s="8" t="s">
        <v>144</v>
      </c>
      <c r="E13" s="9">
        <v>2039840</v>
      </c>
      <c r="F13" s="9">
        <v>2259259.2593</v>
      </c>
      <c r="G13" s="9">
        <v>0</v>
      </c>
      <c r="H13" s="8" t="s">
        <v>27</v>
      </c>
      <c r="I13" s="8" t="s">
        <v>683</v>
      </c>
      <c r="J13" s="14">
        <f t="shared" si="0"/>
        <v>0.9028799999837186</v>
      </c>
    </row>
    <row r="14" spans="1:10" x14ac:dyDescent="0.2">
      <c r="A14" s="2" t="s">
        <v>315</v>
      </c>
      <c r="B14" s="2" t="s">
        <v>314</v>
      </c>
      <c r="C14" s="2" t="s">
        <v>116</v>
      </c>
      <c r="D14" s="2" t="s">
        <v>316</v>
      </c>
      <c r="E14" s="3">
        <v>2011035</v>
      </c>
      <c r="F14" s="3">
        <v>2165197.2222000002</v>
      </c>
      <c r="G14" s="3">
        <v>0</v>
      </c>
      <c r="H14" s="2" t="s">
        <v>27</v>
      </c>
      <c r="I14" s="2" t="s">
        <v>683</v>
      </c>
      <c r="J14" s="15">
        <f t="shared" si="0"/>
        <v>0.92879991687622798</v>
      </c>
    </row>
    <row r="15" spans="1:10" x14ac:dyDescent="0.2">
      <c r="A15" s="2" t="s">
        <v>315</v>
      </c>
      <c r="B15" s="2" t="s">
        <v>320</v>
      </c>
      <c r="C15" s="2" t="s">
        <v>37</v>
      </c>
      <c r="D15" s="2" t="s">
        <v>317</v>
      </c>
      <c r="E15" s="3">
        <v>2011035</v>
      </c>
      <c r="F15" s="3">
        <v>2165197.2222000002</v>
      </c>
      <c r="G15" s="3">
        <v>0</v>
      </c>
      <c r="H15" s="2" t="s">
        <v>27</v>
      </c>
      <c r="I15" s="2" t="s">
        <v>683</v>
      </c>
      <c r="J15" s="15">
        <f t="shared" si="0"/>
        <v>0.92879991687622798</v>
      </c>
    </row>
    <row r="16" spans="1:10" x14ac:dyDescent="0.2">
      <c r="A16" s="8" t="s">
        <v>386</v>
      </c>
      <c r="B16" s="8" t="s">
        <v>390</v>
      </c>
      <c r="C16" s="8" t="s">
        <v>17</v>
      </c>
      <c r="D16" s="8" t="s">
        <v>391</v>
      </c>
      <c r="E16" s="9">
        <v>1926990</v>
      </c>
      <c r="F16" s="9">
        <v>2541666.6666999999</v>
      </c>
      <c r="G16" s="9">
        <v>0</v>
      </c>
      <c r="H16" s="8" t="s">
        <v>27</v>
      </c>
      <c r="I16" s="8" t="s">
        <v>683</v>
      </c>
      <c r="J16" s="14">
        <f t="shared" si="0"/>
        <v>0.7581599999900569</v>
      </c>
    </row>
    <row r="17" spans="1:10" x14ac:dyDescent="0.2">
      <c r="A17" s="2" t="s">
        <v>386</v>
      </c>
      <c r="B17" s="2" t="s">
        <v>385</v>
      </c>
      <c r="C17" s="2" t="s">
        <v>116</v>
      </c>
      <c r="D17" s="2" t="s">
        <v>387</v>
      </c>
      <c r="E17" s="3">
        <v>1926990</v>
      </c>
      <c r="F17" s="3">
        <v>2541666.6666999999</v>
      </c>
      <c r="G17" s="3">
        <v>0</v>
      </c>
      <c r="H17" s="2" t="s">
        <v>27</v>
      </c>
      <c r="I17" s="2" t="s">
        <v>683</v>
      </c>
      <c r="J17" s="15">
        <f t="shared" si="0"/>
        <v>0.7581599999900569</v>
      </c>
    </row>
    <row r="18" spans="1:10" x14ac:dyDescent="0.2">
      <c r="A18" s="2" t="s">
        <v>174</v>
      </c>
      <c r="B18" s="2" t="s">
        <v>173</v>
      </c>
      <c r="C18" s="2" t="s">
        <v>37</v>
      </c>
      <c r="D18" s="2" t="s">
        <v>166</v>
      </c>
      <c r="E18" s="3">
        <v>1710000</v>
      </c>
      <c r="F18" s="3">
        <v>1583333.3333000001</v>
      </c>
      <c r="G18" s="3">
        <v>0</v>
      </c>
      <c r="H18" s="2" t="s">
        <v>27</v>
      </c>
      <c r="I18" s="2" t="s">
        <v>683</v>
      </c>
      <c r="J18" s="15">
        <f t="shared" si="0"/>
        <v>1.0800000000227368</v>
      </c>
    </row>
    <row r="19" spans="1:10" x14ac:dyDescent="0.2">
      <c r="A19" s="2" t="s">
        <v>153</v>
      </c>
      <c r="B19" s="2" t="s">
        <v>152</v>
      </c>
      <c r="C19" s="2" t="s">
        <v>37</v>
      </c>
      <c r="D19" s="2" t="s">
        <v>154</v>
      </c>
      <c r="E19" s="3">
        <v>1700000</v>
      </c>
      <c r="F19" s="3">
        <v>1759259.2593</v>
      </c>
      <c r="G19" s="3">
        <v>0</v>
      </c>
      <c r="H19" s="2" t="s">
        <v>27</v>
      </c>
      <c r="I19" s="2" t="s">
        <v>683</v>
      </c>
      <c r="J19" s="15">
        <f t="shared" si="0"/>
        <v>0.96631578945130636</v>
      </c>
    </row>
    <row r="20" spans="1:10" x14ac:dyDescent="0.2">
      <c r="A20" s="2" t="s">
        <v>337</v>
      </c>
      <c r="B20" s="2" t="s">
        <v>336</v>
      </c>
      <c r="C20" s="2" t="s">
        <v>116</v>
      </c>
      <c r="D20" s="2" t="s">
        <v>338</v>
      </c>
      <c r="E20" s="3">
        <v>1540000</v>
      </c>
      <c r="F20" s="3">
        <v>1782407.4073999999</v>
      </c>
      <c r="G20" s="3">
        <v>0</v>
      </c>
      <c r="H20" s="2" t="s">
        <v>27</v>
      </c>
      <c r="I20" s="2" t="s">
        <v>683</v>
      </c>
      <c r="J20" s="15">
        <f t="shared" si="0"/>
        <v>0.86400000000359067</v>
      </c>
    </row>
    <row r="21" spans="1:10" x14ac:dyDescent="0.2">
      <c r="A21" s="2" t="s">
        <v>165</v>
      </c>
      <c r="B21" s="2" t="s">
        <v>164</v>
      </c>
      <c r="C21" s="2" t="s">
        <v>37</v>
      </c>
      <c r="D21" s="2" t="s">
        <v>166</v>
      </c>
      <c r="E21" s="3">
        <v>1470600</v>
      </c>
      <c r="F21" s="3">
        <v>1583333.3333000001</v>
      </c>
      <c r="G21" s="3">
        <v>0</v>
      </c>
      <c r="H21" s="2" t="s">
        <v>27</v>
      </c>
      <c r="I21" s="2" t="s">
        <v>683</v>
      </c>
      <c r="J21" s="15">
        <f t="shared" si="0"/>
        <v>0.92880000001955365</v>
      </c>
    </row>
    <row r="22" spans="1:10" x14ac:dyDescent="0.2">
      <c r="A22" s="8" t="s">
        <v>499</v>
      </c>
      <c r="B22" s="8" t="s">
        <v>498</v>
      </c>
      <c r="C22" s="8" t="s">
        <v>17</v>
      </c>
      <c r="D22" s="8" t="s">
        <v>500</v>
      </c>
      <c r="E22" s="9">
        <v>1383000</v>
      </c>
      <c r="F22" s="9">
        <v>1736111.1111999999</v>
      </c>
      <c r="G22" s="9">
        <v>0</v>
      </c>
      <c r="H22" s="8" t="s">
        <v>27</v>
      </c>
      <c r="I22" s="8" t="s">
        <v>683</v>
      </c>
      <c r="J22" s="14">
        <f t="shared" si="0"/>
        <v>0.79660799995921372</v>
      </c>
    </row>
    <row r="23" spans="1:10" x14ac:dyDescent="0.2">
      <c r="A23" s="8" t="s">
        <v>408</v>
      </c>
      <c r="B23" s="8" t="s">
        <v>407</v>
      </c>
      <c r="C23" s="8" t="s">
        <v>17</v>
      </c>
      <c r="D23" s="8" t="s">
        <v>409</v>
      </c>
      <c r="E23" s="9">
        <v>1147200</v>
      </c>
      <c r="F23" s="9">
        <v>1397222.2222</v>
      </c>
      <c r="G23" s="9">
        <v>0</v>
      </c>
      <c r="H23" s="8" t="s">
        <v>27</v>
      </c>
      <c r="I23" s="8" t="s">
        <v>683</v>
      </c>
      <c r="J23" s="14">
        <f t="shared" si="0"/>
        <v>0.82105765408860532</v>
      </c>
    </row>
    <row r="24" spans="1:10" x14ac:dyDescent="0.2">
      <c r="A24" s="8" t="s">
        <v>369</v>
      </c>
      <c r="B24" s="8" t="s">
        <v>368</v>
      </c>
      <c r="C24" s="8" t="s">
        <v>17</v>
      </c>
      <c r="D24" s="8" t="s">
        <v>370</v>
      </c>
      <c r="E24" s="9">
        <v>980000</v>
      </c>
      <c r="F24" s="9">
        <v>1111111.1111000001</v>
      </c>
      <c r="G24" s="9">
        <v>0</v>
      </c>
      <c r="H24" s="8" t="s">
        <v>27</v>
      </c>
      <c r="I24" s="8" t="s">
        <v>683</v>
      </c>
      <c r="J24" s="14">
        <f t="shared" si="0"/>
        <v>0.88200000000881995</v>
      </c>
    </row>
    <row r="25" spans="1:10" x14ac:dyDescent="0.2">
      <c r="A25" s="2" t="s">
        <v>382</v>
      </c>
      <c r="B25" s="2" t="s">
        <v>381</v>
      </c>
      <c r="C25" s="2" t="s">
        <v>116</v>
      </c>
      <c r="D25" s="2" t="s">
        <v>383</v>
      </c>
      <c r="E25" s="3">
        <v>954500</v>
      </c>
      <c r="F25" s="3">
        <v>1064814.8148000001</v>
      </c>
      <c r="G25" s="3">
        <v>0</v>
      </c>
      <c r="H25" s="2" t="s">
        <v>27</v>
      </c>
      <c r="I25" s="2" t="s">
        <v>683</v>
      </c>
      <c r="J25" s="15">
        <f t="shared" si="0"/>
        <v>0.89640000001247155</v>
      </c>
    </row>
    <row r="26" spans="1:10" x14ac:dyDescent="0.2">
      <c r="A26" s="8" t="s">
        <v>275</v>
      </c>
      <c r="B26" s="8" t="s">
        <v>274</v>
      </c>
      <c r="C26" s="8" t="s">
        <v>17</v>
      </c>
      <c r="D26" s="8" t="s">
        <v>276</v>
      </c>
      <c r="E26" s="9">
        <v>900148</v>
      </c>
      <c r="F26" s="9">
        <v>999722.22219999996</v>
      </c>
      <c r="G26" s="9">
        <v>0</v>
      </c>
      <c r="H26" s="8" t="s">
        <v>27</v>
      </c>
      <c r="I26" s="8" t="s">
        <v>683</v>
      </c>
      <c r="J26" s="14">
        <f t="shared" si="0"/>
        <v>0.90039811060628838</v>
      </c>
    </row>
    <row r="27" spans="1:10" x14ac:dyDescent="0.2">
      <c r="A27" s="8" t="s">
        <v>378</v>
      </c>
      <c r="B27" s="8" t="s">
        <v>377</v>
      </c>
      <c r="C27" s="8" t="s">
        <v>17</v>
      </c>
      <c r="D27" s="8" t="s">
        <v>365</v>
      </c>
      <c r="E27" s="9">
        <v>879700</v>
      </c>
      <c r="F27" s="9">
        <v>999722.22219999996</v>
      </c>
      <c r="G27" s="9">
        <v>0</v>
      </c>
      <c r="H27" s="8" t="s">
        <v>27</v>
      </c>
      <c r="I27" s="8" t="s">
        <v>683</v>
      </c>
      <c r="J27" s="14">
        <f t="shared" si="0"/>
        <v>0.8799444290276176</v>
      </c>
    </row>
    <row r="28" spans="1:10" x14ac:dyDescent="0.2">
      <c r="A28" s="8" t="s">
        <v>193</v>
      </c>
      <c r="B28" s="8" t="s">
        <v>192</v>
      </c>
      <c r="C28" s="8" t="s">
        <v>17</v>
      </c>
      <c r="D28" s="8" t="s">
        <v>194</v>
      </c>
      <c r="E28" s="9">
        <v>849072</v>
      </c>
      <c r="F28" s="9">
        <v>985185.18519999995</v>
      </c>
      <c r="G28" s="9">
        <v>0</v>
      </c>
      <c r="H28" s="8" t="s">
        <v>27</v>
      </c>
      <c r="I28" s="8" t="s">
        <v>683</v>
      </c>
      <c r="J28" s="14">
        <f t="shared" si="0"/>
        <v>0.86183999998704008</v>
      </c>
    </row>
    <row r="29" spans="1:10" x14ac:dyDescent="0.2">
      <c r="A29" s="8" t="s">
        <v>527</v>
      </c>
      <c r="B29" s="8" t="s">
        <v>526</v>
      </c>
      <c r="C29" s="8" t="s">
        <v>17</v>
      </c>
      <c r="D29" s="8" t="s">
        <v>528</v>
      </c>
      <c r="E29" s="9">
        <v>752350</v>
      </c>
      <c r="F29" s="9">
        <v>868055.55559999996</v>
      </c>
      <c r="G29" s="9">
        <v>0</v>
      </c>
      <c r="H29" s="8" t="s">
        <v>27</v>
      </c>
      <c r="I29" s="8" t="s">
        <v>683</v>
      </c>
      <c r="J29" s="14">
        <f t="shared" si="0"/>
        <v>0.86670719995562462</v>
      </c>
    </row>
    <row r="30" spans="1:10" x14ac:dyDescent="0.2">
      <c r="A30" s="2" t="s">
        <v>504</v>
      </c>
      <c r="B30" s="2" t="s">
        <v>503</v>
      </c>
      <c r="C30" s="2" t="s">
        <v>116</v>
      </c>
      <c r="D30" s="2" t="s">
        <v>505</v>
      </c>
      <c r="E30" s="3">
        <v>704000</v>
      </c>
      <c r="F30" s="3">
        <v>833333.33330000006</v>
      </c>
      <c r="G30" s="3">
        <v>0</v>
      </c>
      <c r="H30" s="2" t="s">
        <v>27</v>
      </c>
      <c r="I30" s="2" t="s">
        <v>683</v>
      </c>
      <c r="J30" s="15">
        <f t="shared" si="0"/>
        <v>0.84480000003379196</v>
      </c>
    </row>
    <row r="31" spans="1:10" x14ac:dyDescent="0.2">
      <c r="A31" s="8" t="s">
        <v>504</v>
      </c>
      <c r="B31" s="8" t="s">
        <v>513</v>
      </c>
      <c r="C31" s="8" t="s">
        <v>17</v>
      </c>
      <c r="D31" s="8" t="s">
        <v>509</v>
      </c>
      <c r="E31" s="9">
        <v>704000</v>
      </c>
      <c r="F31" s="9">
        <v>833333.33330000006</v>
      </c>
      <c r="G31" s="9">
        <v>0</v>
      </c>
      <c r="H31" s="8" t="s">
        <v>27</v>
      </c>
      <c r="I31" s="8" t="s">
        <v>683</v>
      </c>
      <c r="J31" s="14">
        <f t="shared" si="0"/>
        <v>0.84480000003379196</v>
      </c>
    </row>
    <row r="32" spans="1:10" x14ac:dyDescent="0.2">
      <c r="A32" s="8" t="s">
        <v>523</v>
      </c>
      <c r="B32" s="8" t="s">
        <v>522</v>
      </c>
      <c r="C32" s="8" t="s">
        <v>17</v>
      </c>
      <c r="D32" s="8" t="s">
        <v>510</v>
      </c>
      <c r="E32" s="9">
        <v>704000</v>
      </c>
      <c r="F32" s="9">
        <v>833333.33330000006</v>
      </c>
      <c r="G32" s="9">
        <v>0</v>
      </c>
      <c r="H32" s="8" t="s">
        <v>27</v>
      </c>
      <c r="I32" s="8" t="s">
        <v>683</v>
      </c>
      <c r="J32" s="14">
        <f t="shared" si="0"/>
        <v>0.84480000003379196</v>
      </c>
    </row>
    <row r="33" spans="1:10" x14ac:dyDescent="0.2">
      <c r="A33" s="8" t="s">
        <v>179</v>
      </c>
      <c r="B33" s="8" t="s">
        <v>178</v>
      </c>
      <c r="C33" s="8" t="s">
        <v>17</v>
      </c>
      <c r="D33" s="8" t="s">
        <v>180</v>
      </c>
      <c r="E33" s="9">
        <v>698083</v>
      </c>
      <c r="F33" s="9">
        <v>800462.96299999999</v>
      </c>
      <c r="G33" s="9">
        <v>0</v>
      </c>
      <c r="H33" s="8" t="s">
        <v>27</v>
      </c>
      <c r="I33" s="8" t="s">
        <v>683</v>
      </c>
      <c r="J33" s="14">
        <f t="shared" si="0"/>
        <v>0.87209906300186935</v>
      </c>
    </row>
    <row r="34" spans="1:10" x14ac:dyDescent="0.2">
      <c r="A34" s="8" t="s">
        <v>240</v>
      </c>
      <c r="B34" s="8" t="s">
        <v>239</v>
      </c>
      <c r="C34" s="8" t="s">
        <v>17</v>
      </c>
      <c r="D34" s="8" t="s">
        <v>241</v>
      </c>
      <c r="E34" s="9">
        <v>688275</v>
      </c>
      <c r="F34" s="9">
        <v>798611.11109999998</v>
      </c>
      <c r="G34" s="9">
        <v>0</v>
      </c>
      <c r="H34" s="8" t="s">
        <v>27</v>
      </c>
      <c r="I34" s="8" t="s">
        <v>683</v>
      </c>
      <c r="J34" s="14">
        <f t="shared" ref="J34:J65" si="1">IF(F34=0,"",E34/F34)</f>
        <v>0.86184000001199079</v>
      </c>
    </row>
    <row r="35" spans="1:10" x14ac:dyDescent="0.2">
      <c r="A35" s="8" t="s">
        <v>363</v>
      </c>
      <c r="B35" s="8" t="s">
        <v>362</v>
      </c>
      <c r="C35" s="8" t="s">
        <v>17</v>
      </c>
      <c r="D35" s="8" t="s">
        <v>364</v>
      </c>
      <c r="E35" s="9">
        <v>682500</v>
      </c>
      <c r="F35" s="9">
        <v>659722.22219999996</v>
      </c>
      <c r="G35" s="9">
        <v>0</v>
      </c>
      <c r="H35" s="8" t="s">
        <v>27</v>
      </c>
      <c r="I35" s="8" t="s">
        <v>683</v>
      </c>
      <c r="J35" s="14">
        <f t="shared" si="1"/>
        <v>1.034526315824321</v>
      </c>
    </row>
    <row r="36" spans="1:10" x14ac:dyDescent="0.2">
      <c r="A36" s="8" t="s">
        <v>295</v>
      </c>
      <c r="B36" s="8" t="s">
        <v>294</v>
      </c>
      <c r="C36" s="8" t="s">
        <v>17</v>
      </c>
      <c r="D36" s="8" t="s">
        <v>282</v>
      </c>
      <c r="E36" s="9">
        <v>663000</v>
      </c>
      <c r="F36" s="9">
        <v>763888.88890000002</v>
      </c>
      <c r="G36" s="9">
        <v>0</v>
      </c>
      <c r="H36" s="8" t="s">
        <v>27</v>
      </c>
      <c r="I36" s="8" t="s">
        <v>683</v>
      </c>
      <c r="J36" s="14">
        <f t="shared" si="1"/>
        <v>0.86792727271464831</v>
      </c>
    </row>
    <row r="37" spans="1:10" x14ac:dyDescent="0.2">
      <c r="A37" s="8" t="s">
        <v>269</v>
      </c>
      <c r="B37" s="8" t="s">
        <v>268</v>
      </c>
      <c r="C37" s="8" t="s">
        <v>17</v>
      </c>
      <c r="D37" s="8" t="s">
        <v>270</v>
      </c>
      <c r="E37" s="9">
        <v>661500</v>
      </c>
      <c r="F37" s="9">
        <v>729166.66669999994</v>
      </c>
      <c r="G37" s="9">
        <v>0</v>
      </c>
      <c r="H37" s="8" t="s">
        <v>27</v>
      </c>
      <c r="I37" s="8" t="s">
        <v>683</v>
      </c>
      <c r="J37" s="14">
        <f t="shared" si="1"/>
        <v>0.90719999995852807</v>
      </c>
    </row>
    <row r="38" spans="1:10" x14ac:dyDescent="0.2">
      <c r="A38" s="8" t="s">
        <v>517</v>
      </c>
      <c r="B38" s="8" t="s">
        <v>516</v>
      </c>
      <c r="C38" s="8" t="s">
        <v>17</v>
      </c>
      <c r="D38" s="8" t="s">
        <v>518</v>
      </c>
      <c r="E38" s="9">
        <v>646000</v>
      </c>
      <c r="F38" s="9">
        <v>722222.22219999996</v>
      </c>
      <c r="G38" s="9">
        <v>0</v>
      </c>
      <c r="H38" s="8" t="s">
        <v>27</v>
      </c>
      <c r="I38" s="8" t="s">
        <v>683</v>
      </c>
      <c r="J38" s="14">
        <f t="shared" si="1"/>
        <v>0.8944615384890604</v>
      </c>
    </row>
    <row r="39" spans="1:10" x14ac:dyDescent="0.2">
      <c r="A39" s="2" t="s">
        <v>398</v>
      </c>
      <c r="B39" s="2" t="s">
        <v>397</v>
      </c>
      <c r="C39" s="2" t="s">
        <v>116</v>
      </c>
      <c r="D39" s="2" t="s">
        <v>399</v>
      </c>
      <c r="E39" s="3">
        <v>627000</v>
      </c>
      <c r="F39" s="3">
        <v>659722.22219999996</v>
      </c>
      <c r="G39" s="3">
        <v>0</v>
      </c>
      <c r="H39" s="2" t="s">
        <v>27</v>
      </c>
      <c r="I39" s="2" t="s">
        <v>683</v>
      </c>
      <c r="J39" s="15">
        <f t="shared" si="1"/>
        <v>0.95040000003201353</v>
      </c>
    </row>
    <row r="40" spans="1:10" x14ac:dyDescent="0.2">
      <c r="A40" s="8" t="s">
        <v>426</v>
      </c>
      <c r="B40" s="8" t="s">
        <v>425</v>
      </c>
      <c r="C40" s="8" t="s">
        <v>17</v>
      </c>
      <c r="D40" s="8" t="s">
        <v>427</v>
      </c>
      <c r="E40" s="9">
        <v>613202</v>
      </c>
      <c r="F40" s="9">
        <v>819444.44440000004</v>
      </c>
      <c r="G40" s="9">
        <v>0</v>
      </c>
      <c r="H40" s="8" t="s">
        <v>27</v>
      </c>
      <c r="I40" s="8" t="s">
        <v>683</v>
      </c>
      <c r="J40" s="14">
        <f t="shared" si="1"/>
        <v>0.74831430512533226</v>
      </c>
    </row>
    <row r="41" spans="1:10" x14ac:dyDescent="0.2">
      <c r="A41" s="2" t="s">
        <v>299</v>
      </c>
      <c r="B41" s="2" t="s">
        <v>298</v>
      </c>
      <c r="C41" s="2" t="s">
        <v>37</v>
      </c>
      <c r="D41" s="2" t="s">
        <v>300</v>
      </c>
      <c r="E41" s="3">
        <v>589569</v>
      </c>
      <c r="F41" s="3">
        <v>1022592.5926</v>
      </c>
      <c r="G41" s="3">
        <v>0</v>
      </c>
      <c r="H41" s="2" t="s">
        <v>27</v>
      </c>
      <c r="I41" s="2" t="s">
        <v>683</v>
      </c>
      <c r="J41" s="15">
        <f t="shared" si="1"/>
        <v>0.57654339007188304</v>
      </c>
    </row>
    <row r="42" spans="1:10" x14ac:dyDescent="0.2">
      <c r="A42" s="8" t="s">
        <v>431</v>
      </c>
      <c r="B42" s="8" t="s">
        <v>430</v>
      </c>
      <c r="C42" s="8" t="s">
        <v>17</v>
      </c>
      <c r="D42" s="8" t="s">
        <v>432</v>
      </c>
      <c r="E42" s="9">
        <v>581975</v>
      </c>
      <c r="F42" s="9">
        <v>636574.07409999997</v>
      </c>
      <c r="G42" s="9">
        <v>0</v>
      </c>
      <c r="H42" s="8" t="s">
        <v>27</v>
      </c>
      <c r="I42" s="8" t="s">
        <v>683</v>
      </c>
      <c r="J42" s="14">
        <f t="shared" si="1"/>
        <v>0.91422981814458415</v>
      </c>
    </row>
    <row r="43" spans="1:10" x14ac:dyDescent="0.2">
      <c r="A43" s="8" t="s">
        <v>508</v>
      </c>
      <c r="B43" s="8" t="s">
        <v>507</v>
      </c>
      <c r="C43" s="8" t="s">
        <v>17</v>
      </c>
      <c r="D43" s="8" t="s">
        <v>509</v>
      </c>
      <c r="E43" s="9">
        <v>573607</v>
      </c>
      <c r="F43" s="9">
        <v>833333.33330000006</v>
      </c>
      <c r="G43" s="9">
        <v>0</v>
      </c>
      <c r="H43" s="8" t="s">
        <v>27</v>
      </c>
      <c r="I43" s="8" t="s">
        <v>683</v>
      </c>
      <c r="J43" s="14">
        <f t="shared" si="1"/>
        <v>0.68832840002753304</v>
      </c>
    </row>
    <row r="44" spans="1:10" x14ac:dyDescent="0.2">
      <c r="A44" s="8" t="s">
        <v>226</v>
      </c>
      <c r="B44" s="8" t="s">
        <v>225</v>
      </c>
      <c r="C44" s="8" t="s">
        <v>17</v>
      </c>
      <c r="D44" s="8" t="s">
        <v>227</v>
      </c>
      <c r="E44" s="9">
        <v>567500</v>
      </c>
      <c r="F44" s="9">
        <v>879629.62959999999</v>
      </c>
      <c r="G44" s="9">
        <v>0</v>
      </c>
      <c r="H44" s="8" t="s">
        <v>27</v>
      </c>
      <c r="I44" s="8" t="s">
        <v>683</v>
      </c>
      <c r="J44" s="14">
        <f t="shared" si="1"/>
        <v>0.64515789475857377</v>
      </c>
    </row>
    <row r="45" spans="1:10" x14ac:dyDescent="0.2">
      <c r="A45" s="8" t="s">
        <v>353</v>
      </c>
      <c r="B45" s="8" t="s">
        <v>352</v>
      </c>
      <c r="C45" s="8" t="s">
        <v>17</v>
      </c>
      <c r="D45" s="8" t="s">
        <v>354</v>
      </c>
      <c r="E45" s="9">
        <v>546000</v>
      </c>
      <c r="F45" s="9">
        <v>1203703.7037</v>
      </c>
      <c r="G45" s="9">
        <v>0</v>
      </c>
      <c r="H45" s="8" t="s">
        <v>27</v>
      </c>
      <c r="I45" s="8" t="s">
        <v>683</v>
      </c>
      <c r="J45" s="14">
        <f t="shared" si="1"/>
        <v>0.45360000000139572</v>
      </c>
    </row>
    <row r="46" spans="1:10" x14ac:dyDescent="0.2">
      <c r="A46" s="8" t="s">
        <v>249</v>
      </c>
      <c r="B46" s="8" t="s">
        <v>248</v>
      </c>
      <c r="C46" s="8" t="s">
        <v>17</v>
      </c>
      <c r="D46" s="8" t="s">
        <v>250</v>
      </c>
      <c r="E46" s="9">
        <v>538560</v>
      </c>
      <c r="F46" s="9">
        <v>566666.66669999994</v>
      </c>
      <c r="G46" s="9">
        <v>0</v>
      </c>
      <c r="H46" s="8" t="s">
        <v>27</v>
      </c>
      <c r="I46" s="8" t="s">
        <v>683</v>
      </c>
      <c r="J46" s="14">
        <f t="shared" si="1"/>
        <v>0.95039999994409419</v>
      </c>
    </row>
    <row r="47" spans="1:10" x14ac:dyDescent="0.2">
      <c r="A47" s="8" t="s">
        <v>23</v>
      </c>
      <c r="B47" s="8" t="s">
        <v>22</v>
      </c>
      <c r="C47" s="8" t="s">
        <v>17</v>
      </c>
      <c r="D47" s="8" t="s">
        <v>24</v>
      </c>
      <c r="E47" s="9">
        <v>522652</v>
      </c>
      <c r="F47" s="9">
        <v>553703.70369999995</v>
      </c>
      <c r="G47" s="9">
        <v>0</v>
      </c>
      <c r="H47" s="8" t="s">
        <v>27</v>
      </c>
      <c r="I47" s="8" t="s">
        <v>683</v>
      </c>
      <c r="J47" s="14">
        <f t="shared" si="1"/>
        <v>0.94392000000631393</v>
      </c>
    </row>
    <row r="48" spans="1:10" x14ac:dyDescent="0.2">
      <c r="A48" s="8" t="s">
        <v>83</v>
      </c>
      <c r="B48" s="8" t="s">
        <v>82</v>
      </c>
      <c r="C48" s="8" t="s">
        <v>17</v>
      </c>
      <c r="D48" s="8" t="s">
        <v>73</v>
      </c>
      <c r="E48" s="9">
        <v>521220</v>
      </c>
      <c r="F48" s="9">
        <v>567777.77780000004</v>
      </c>
      <c r="G48" s="9">
        <v>0</v>
      </c>
      <c r="H48" s="8" t="s">
        <v>27</v>
      </c>
      <c r="I48" s="8" t="s">
        <v>683</v>
      </c>
      <c r="J48" s="14">
        <f t="shared" si="1"/>
        <v>0.91799999996407033</v>
      </c>
    </row>
    <row r="49" spans="1:10" x14ac:dyDescent="0.2">
      <c r="A49" s="8" t="s">
        <v>255</v>
      </c>
      <c r="B49" s="8" t="s">
        <v>254</v>
      </c>
      <c r="C49" s="8" t="s">
        <v>17</v>
      </c>
      <c r="D49" s="8" t="s">
        <v>256</v>
      </c>
      <c r="E49" s="9">
        <v>509960</v>
      </c>
      <c r="F49" s="9">
        <v>536574.07409999997</v>
      </c>
      <c r="G49" s="9">
        <v>0</v>
      </c>
      <c r="H49" s="8" t="s">
        <v>27</v>
      </c>
      <c r="I49" s="8" t="s">
        <v>683</v>
      </c>
      <c r="J49" s="14">
        <f t="shared" si="1"/>
        <v>0.95039999995407909</v>
      </c>
    </row>
    <row r="50" spans="1:10" x14ac:dyDescent="0.2">
      <c r="A50" s="8" t="s">
        <v>281</v>
      </c>
      <c r="B50" s="8" t="s">
        <v>280</v>
      </c>
      <c r="C50" s="8" t="s">
        <v>17</v>
      </c>
      <c r="D50" s="8" t="s">
        <v>276</v>
      </c>
      <c r="E50" s="9">
        <v>508725</v>
      </c>
      <c r="F50" s="9">
        <v>554166.66669999994</v>
      </c>
      <c r="G50" s="9">
        <v>0</v>
      </c>
      <c r="H50" s="8" t="s">
        <v>27</v>
      </c>
      <c r="I50" s="8" t="s">
        <v>683</v>
      </c>
      <c r="J50" s="14">
        <f t="shared" si="1"/>
        <v>0.9179999999447821</v>
      </c>
    </row>
    <row r="51" spans="1:10" x14ac:dyDescent="0.2">
      <c r="A51" s="8" t="s">
        <v>235</v>
      </c>
      <c r="B51" s="8" t="s">
        <v>234</v>
      </c>
      <c r="C51" s="8" t="s">
        <v>17</v>
      </c>
      <c r="D51" s="8" t="s">
        <v>236</v>
      </c>
      <c r="E51" s="9">
        <v>501840</v>
      </c>
      <c r="F51" s="9">
        <v>566666.66669999994</v>
      </c>
      <c r="G51" s="9">
        <v>0</v>
      </c>
      <c r="H51" s="8" t="s">
        <v>27</v>
      </c>
      <c r="I51" s="8" t="s">
        <v>683</v>
      </c>
      <c r="J51" s="14">
        <f t="shared" si="1"/>
        <v>0.88559999994790595</v>
      </c>
    </row>
    <row r="52" spans="1:10" x14ac:dyDescent="0.2">
      <c r="A52" s="8" t="s">
        <v>468</v>
      </c>
      <c r="B52" s="8" t="s">
        <v>467</v>
      </c>
      <c r="C52" s="8" t="s">
        <v>17</v>
      </c>
      <c r="D52" s="8" t="s">
        <v>469</v>
      </c>
      <c r="E52" s="9">
        <v>454000</v>
      </c>
      <c r="F52" s="9">
        <v>525462.96299999999</v>
      </c>
      <c r="G52" s="9">
        <v>0</v>
      </c>
      <c r="H52" s="8" t="s">
        <v>27</v>
      </c>
      <c r="I52" s="8" t="s">
        <v>683</v>
      </c>
      <c r="J52" s="14">
        <f t="shared" si="1"/>
        <v>0.86399999993910137</v>
      </c>
    </row>
    <row r="53" spans="1:10" x14ac:dyDescent="0.2">
      <c r="A53" s="8" t="s">
        <v>159</v>
      </c>
      <c r="B53" s="8" t="s">
        <v>158</v>
      </c>
      <c r="C53" s="8" t="s">
        <v>17</v>
      </c>
      <c r="D53" s="8" t="s">
        <v>160</v>
      </c>
      <c r="E53" s="9">
        <v>448533</v>
      </c>
      <c r="F53" s="9">
        <v>2440000</v>
      </c>
      <c r="G53" s="9">
        <v>0</v>
      </c>
      <c r="H53" s="8" t="s">
        <v>27</v>
      </c>
      <c r="I53" s="8" t="s">
        <v>683</v>
      </c>
      <c r="J53" s="14">
        <f t="shared" si="1"/>
        <v>0.18382499999999999</v>
      </c>
    </row>
    <row r="54" spans="1:10" x14ac:dyDescent="0.2">
      <c r="A54" s="8" t="s">
        <v>438</v>
      </c>
      <c r="B54" s="8" t="s">
        <v>437</v>
      </c>
      <c r="C54" s="8" t="s">
        <v>17</v>
      </c>
      <c r="D54" s="8" t="s">
        <v>439</v>
      </c>
      <c r="E54" s="9">
        <v>448324</v>
      </c>
      <c r="F54" s="9">
        <v>543981.48149999999</v>
      </c>
      <c r="G54" s="9">
        <v>0</v>
      </c>
      <c r="H54" s="8" t="s">
        <v>27</v>
      </c>
      <c r="I54" s="8" t="s">
        <v>683</v>
      </c>
      <c r="J54" s="14">
        <f t="shared" si="1"/>
        <v>0.82415305529109262</v>
      </c>
    </row>
    <row r="55" spans="1:10" x14ac:dyDescent="0.2">
      <c r="A55" s="8" t="s">
        <v>548</v>
      </c>
      <c r="B55" s="8" t="s">
        <v>547</v>
      </c>
      <c r="C55" s="8" t="s">
        <v>551</v>
      </c>
      <c r="D55" s="8" t="s">
        <v>549</v>
      </c>
      <c r="E55" s="9">
        <v>428045</v>
      </c>
      <c r="F55" s="9">
        <v>672916.66669999994</v>
      </c>
      <c r="G55" s="9">
        <v>0</v>
      </c>
      <c r="H55" s="8" t="s">
        <v>27</v>
      </c>
      <c r="I55" s="8" t="s">
        <v>683</v>
      </c>
      <c r="J55" s="14">
        <f t="shared" si="1"/>
        <v>0.63610402473629213</v>
      </c>
    </row>
    <row r="56" spans="1:10" x14ac:dyDescent="0.2">
      <c r="A56" s="8" t="s">
        <v>197</v>
      </c>
      <c r="B56" s="8" t="s">
        <v>196</v>
      </c>
      <c r="C56" s="8" t="s">
        <v>17</v>
      </c>
      <c r="D56" s="8" t="s">
        <v>198</v>
      </c>
      <c r="E56" s="9">
        <v>427200</v>
      </c>
      <c r="F56" s="9">
        <v>458333.3333</v>
      </c>
      <c r="G56" s="9">
        <v>0</v>
      </c>
      <c r="H56" s="8" t="s">
        <v>27</v>
      </c>
      <c r="I56" s="8" t="s">
        <v>683</v>
      </c>
      <c r="J56" s="14">
        <f t="shared" si="1"/>
        <v>0.93207272734051438</v>
      </c>
    </row>
    <row r="57" spans="1:10" x14ac:dyDescent="0.2">
      <c r="A57" s="8" t="s">
        <v>209</v>
      </c>
      <c r="B57" s="8" t="s">
        <v>208</v>
      </c>
      <c r="C57" s="8" t="s">
        <v>17</v>
      </c>
      <c r="D57" s="8" t="s">
        <v>210</v>
      </c>
      <c r="E57" s="9">
        <v>421100</v>
      </c>
      <c r="F57" s="9">
        <v>444444.44439999998</v>
      </c>
      <c r="G57" s="9">
        <v>0</v>
      </c>
      <c r="H57" s="8" t="s">
        <v>27</v>
      </c>
      <c r="I57" s="8" t="s">
        <v>683</v>
      </c>
      <c r="J57" s="14">
        <f t="shared" si="1"/>
        <v>0.9474750000947475</v>
      </c>
    </row>
    <row r="58" spans="1:10" x14ac:dyDescent="0.2">
      <c r="A58" s="8" t="s">
        <v>538</v>
      </c>
      <c r="B58" s="8" t="s">
        <v>537</v>
      </c>
      <c r="C58" s="8" t="s">
        <v>17</v>
      </c>
      <c r="D58" s="8" t="s">
        <v>539</v>
      </c>
      <c r="E58" s="9">
        <v>415800</v>
      </c>
      <c r="F58" s="9">
        <v>458333.3333</v>
      </c>
      <c r="G58" s="9">
        <v>0</v>
      </c>
      <c r="H58" s="8" t="s">
        <v>27</v>
      </c>
      <c r="I58" s="8" t="s">
        <v>683</v>
      </c>
      <c r="J58" s="14">
        <f t="shared" si="1"/>
        <v>0.90720000006597823</v>
      </c>
    </row>
    <row r="59" spans="1:10" x14ac:dyDescent="0.2">
      <c r="A59" s="8" t="s">
        <v>374</v>
      </c>
      <c r="B59" s="8" t="s">
        <v>373</v>
      </c>
      <c r="C59" s="8" t="s">
        <v>17</v>
      </c>
      <c r="D59" s="8" t="s">
        <v>370</v>
      </c>
      <c r="E59" s="9">
        <v>415350</v>
      </c>
      <c r="F59" s="9">
        <v>506944.44439999998</v>
      </c>
      <c r="G59" s="9">
        <v>0</v>
      </c>
      <c r="H59" s="8" t="s">
        <v>27</v>
      </c>
      <c r="I59" s="8" t="s">
        <v>683</v>
      </c>
      <c r="J59" s="14">
        <f t="shared" si="1"/>
        <v>0.81932054801703635</v>
      </c>
    </row>
    <row r="60" spans="1:10" x14ac:dyDescent="0.2">
      <c r="A60" s="8" t="s">
        <v>483</v>
      </c>
      <c r="B60" s="8" t="s">
        <v>482</v>
      </c>
      <c r="C60" s="8" t="s">
        <v>17</v>
      </c>
      <c r="D60" s="8" t="s">
        <v>484</v>
      </c>
      <c r="E60" s="9">
        <v>412050</v>
      </c>
      <c r="F60" s="9">
        <v>483796.29629999999</v>
      </c>
      <c r="G60" s="9">
        <v>0</v>
      </c>
      <c r="H60" s="8" t="s">
        <v>27</v>
      </c>
      <c r="I60" s="8" t="s">
        <v>683</v>
      </c>
      <c r="J60" s="14">
        <f t="shared" si="1"/>
        <v>0.8517014354001784</v>
      </c>
    </row>
    <row r="61" spans="1:10" x14ac:dyDescent="0.2">
      <c r="A61" s="8" t="s">
        <v>457</v>
      </c>
      <c r="B61" s="8" t="s">
        <v>456</v>
      </c>
      <c r="C61" s="8" t="s">
        <v>17</v>
      </c>
      <c r="D61" s="8" t="s">
        <v>458</v>
      </c>
      <c r="E61" s="9">
        <v>412050</v>
      </c>
      <c r="F61" s="9">
        <v>483796.29629999999</v>
      </c>
      <c r="G61" s="9">
        <v>0</v>
      </c>
      <c r="H61" s="8" t="s">
        <v>27</v>
      </c>
      <c r="I61" s="8" t="s">
        <v>683</v>
      </c>
      <c r="J61" s="14">
        <f t="shared" si="1"/>
        <v>0.8517014354001784</v>
      </c>
    </row>
    <row r="62" spans="1:10" x14ac:dyDescent="0.2">
      <c r="A62" s="8" t="s">
        <v>46</v>
      </c>
      <c r="B62" s="8" t="s">
        <v>45</v>
      </c>
      <c r="C62" s="8" t="s">
        <v>17</v>
      </c>
      <c r="D62" s="8" t="s">
        <v>47</v>
      </c>
      <c r="E62" s="9">
        <v>406980</v>
      </c>
      <c r="F62" s="9">
        <v>886666.6666</v>
      </c>
      <c r="G62" s="9">
        <v>0</v>
      </c>
      <c r="H62" s="8" t="s">
        <v>27</v>
      </c>
      <c r="I62" s="8" t="s">
        <v>683</v>
      </c>
      <c r="J62" s="14">
        <f t="shared" si="1"/>
        <v>0.4590000000345113</v>
      </c>
    </row>
    <row r="63" spans="1:10" x14ac:dyDescent="0.2">
      <c r="A63" s="8" t="s">
        <v>104</v>
      </c>
      <c r="B63" s="8" t="s">
        <v>103</v>
      </c>
      <c r="C63" s="8" t="s">
        <v>17</v>
      </c>
      <c r="D63" s="8" t="s">
        <v>105</v>
      </c>
      <c r="E63" s="9">
        <v>402192</v>
      </c>
      <c r="F63" s="9">
        <v>443333.3333</v>
      </c>
      <c r="G63" s="9">
        <v>0</v>
      </c>
      <c r="H63" s="8" t="s">
        <v>27</v>
      </c>
      <c r="I63" s="8" t="s">
        <v>683</v>
      </c>
      <c r="J63" s="14">
        <f t="shared" si="1"/>
        <v>0.90720000006821055</v>
      </c>
    </row>
    <row r="64" spans="1:10" x14ac:dyDescent="0.2">
      <c r="A64" s="2" t="s">
        <v>221</v>
      </c>
      <c r="B64" s="2" t="s">
        <v>220</v>
      </c>
      <c r="C64" s="2" t="s">
        <v>116</v>
      </c>
      <c r="D64" s="2" t="s">
        <v>222</v>
      </c>
      <c r="E64" s="3">
        <v>401625</v>
      </c>
      <c r="F64" s="3">
        <v>437500</v>
      </c>
      <c r="G64" s="3">
        <v>0</v>
      </c>
      <c r="H64" s="2" t="s">
        <v>27</v>
      </c>
      <c r="I64" s="2" t="s">
        <v>683</v>
      </c>
      <c r="J64" s="15">
        <f t="shared" si="1"/>
        <v>0.91800000000000004</v>
      </c>
    </row>
    <row r="65" spans="1:10" x14ac:dyDescent="0.2">
      <c r="A65" s="8" t="s">
        <v>149</v>
      </c>
      <c r="B65" s="8" t="s">
        <v>148</v>
      </c>
      <c r="C65" s="8" t="s">
        <v>17</v>
      </c>
      <c r="D65" s="8" t="s">
        <v>144</v>
      </c>
      <c r="E65" s="9">
        <v>396264</v>
      </c>
      <c r="F65" s="9">
        <v>416944.44439999998</v>
      </c>
      <c r="G65" s="9">
        <v>0</v>
      </c>
      <c r="H65" s="8" t="s">
        <v>27</v>
      </c>
      <c r="I65" s="8" t="s">
        <v>683</v>
      </c>
      <c r="J65" s="14">
        <f t="shared" si="1"/>
        <v>0.95040000010130854</v>
      </c>
    </row>
    <row r="66" spans="1:10" x14ac:dyDescent="0.2">
      <c r="A66" s="2" t="s">
        <v>93</v>
      </c>
      <c r="B66" s="2" t="s">
        <v>92</v>
      </c>
      <c r="C66" s="2" t="s">
        <v>37</v>
      </c>
      <c r="D66" s="2" t="s">
        <v>89</v>
      </c>
      <c r="E66" s="3">
        <v>392700</v>
      </c>
      <c r="F66" s="3">
        <v>427777.77779999998</v>
      </c>
      <c r="G66" s="3">
        <v>0</v>
      </c>
      <c r="H66" s="2" t="s">
        <v>27</v>
      </c>
      <c r="I66" s="2" t="s">
        <v>683</v>
      </c>
      <c r="J66" s="15">
        <f t="shared" ref="J66:J97" si="2">IF(F66=0,"",E66/F66)</f>
        <v>0.91799999995231174</v>
      </c>
    </row>
    <row r="67" spans="1:10" x14ac:dyDescent="0.2">
      <c r="A67" s="8" t="s">
        <v>87</v>
      </c>
      <c r="B67" s="8" t="s">
        <v>86</v>
      </c>
      <c r="C67" s="8" t="s">
        <v>17</v>
      </c>
      <c r="D67" s="8" t="s">
        <v>88</v>
      </c>
      <c r="E67" s="9">
        <v>389000</v>
      </c>
      <c r="F67" s="9">
        <v>360185.18520000001</v>
      </c>
      <c r="G67" s="9">
        <v>0</v>
      </c>
      <c r="H67" s="8" t="s">
        <v>27</v>
      </c>
      <c r="I67" s="8" t="s">
        <v>683</v>
      </c>
      <c r="J67" s="14">
        <f t="shared" si="2"/>
        <v>1.0799999999555785</v>
      </c>
    </row>
    <row r="68" spans="1:10" x14ac:dyDescent="0.2">
      <c r="A68" s="2" t="s">
        <v>118</v>
      </c>
      <c r="B68" s="2" t="s">
        <v>117</v>
      </c>
      <c r="C68" s="2" t="s">
        <v>116</v>
      </c>
      <c r="D68" s="2" t="s">
        <v>119</v>
      </c>
      <c r="E68" s="3">
        <v>382755</v>
      </c>
      <c r="F68" s="3">
        <v>416944.44439999998</v>
      </c>
      <c r="G68" s="3">
        <v>0</v>
      </c>
      <c r="H68" s="2" t="s">
        <v>27</v>
      </c>
      <c r="I68" s="2" t="s">
        <v>683</v>
      </c>
      <c r="J68" s="15">
        <f t="shared" si="2"/>
        <v>0.91800000009785476</v>
      </c>
    </row>
    <row r="69" spans="1:10" x14ac:dyDescent="0.2">
      <c r="A69" s="8" t="s">
        <v>77</v>
      </c>
      <c r="B69" s="8" t="s">
        <v>76</v>
      </c>
      <c r="C69" s="8" t="s">
        <v>17</v>
      </c>
      <c r="D69" s="8" t="s">
        <v>78</v>
      </c>
      <c r="E69" s="9">
        <v>382755</v>
      </c>
      <c r="F69" s="9">
        <v>833888.88879999996</v>
      </c>
      <c r="G69" s="9">
        <v>0</v>
      </c>
      <c r="H69" s="8" t="s">
        <v>27</v>
      </c>
      <c r="I69" s="8" t="s">
        <v>683</v>
      </c>
      <c r="J69" s="14">
        <f t="shared" si="2"/>
        <v>0.45900000004892738</v>
      </c>
    </row>
    <row r="70" spans="1:10" x14ac:dyDescent="0.2">
      <c r="A70" s="2" t="s">
        <v>442</v>
      </c>
      <c r="B70" s="2" t="s">
        <v>441</v>
      </c>
      <c r="C70" s="2" t="s">
        <v>116</v>
      </c>
      <c r="D70" s="2" t="s">
        <v>443</v>
      </c>
      <c r="E70" s="3">
        <v>379720</v>
      </c>
      <c r="F70" s="3">
        <v>399537.03700000001</v>
      </c>
      <c r="G70" s="3">
        <v>0</v>
      </c>
      <c r="H70" s="2" t="s">
        <v>27</v>
      </c>
      <c r="I70" s="2" t="s">
        <v>683</v>
      </c>
      <c r="J70" s="15">
        <f t="shared" si="2"/>
        <v>0.95040000008810199</v>
      </c>
    </row>
    <row r="71" spans="1:10" x14ac:dyDescent="0.2">
      <c r="A71" s="8" t="s">
        <v>442</v>
      </c>
      <c r="B71" s="8" t="s">
        <v>446</v>
      </c>
      <c r="C71" s="8" t="s">
        <v>17</v>
      </c>
      <c r="D71" s="8" t="s">
        <v>443</v>
      </c>
      <c r="E71" s="9">
        <v>379720</v>
      </c>
      <c r="F71" s="9">
        <v>399537.03700000001</v>
      </c>
      <c r="G71" s="9">
        <v>0</v>
      </c>
      <c r="H71" s="8" t="s">
        <v>27</v>
      </c>
      <c r="I71" s="8" t="s">
        <v>683</v>
      </c>
      <c r="J71" s="14">
        <f t="shared" si="2"/>
        <v>0.95040000008810199</v>
      </c>
    </row>
    <row r="72" spans="1:10" x14ac:dyDescent="0.2">
      <c r="A72" s="8" t="s">
        <v>215</v>
      </c>
      <c r="B72" s="8" t="s">
        <v>214</v>
      </c>
      <c r="C72" s="8" t="s">
        <v>17</v>
      </c>
      <c r="D72" s="8" t="s">
        <v>216</v>
      </c>
      <c r="E72" s="9">
        <v>378000</v>
      </c>
      <c r="F72" s="9">
        <v>451388.88890000002</v>
      </c>
      <c r="G72" s="9">
        <v>0</v>
      </c>
      <c r="H72" s="8" t="s">
        <v>27</v>
      </c>
      <c r="I72" s="8" t="s">
        <v>683</v>
      </c>
      <c r="J72" s="14">
        <f t="shared" si="2"/>
        <v>0.83741538459477127</v>
      </c>
    </row>
    <row r="73" spans="1:10" x14ac:dyDescent="0.2">
      <c r="A73" s="8" t="s">
        <v>29</v>
      </c>
      <c r="B73" s="8" t="s">
        <v>28</v>
      </c>
      <c r="C73" s="8" t="s">
        <v>17</v>
      </c>
      <c r="D73" s="8" t="s">
        <v>30</v>
      </c>
      <c r="E73" s="9">
        <v>378000</v>
      </c>
      <c r="F73" s="9">
        <v>703703.70369999995</v>
      </c>
      <c r="G73" s="9">
        <v>0</v>
      </c>
      <c r="H73" s="8" t="s">
        <v>27</v>
      </c>
      <c r="I73" s="8" t="s">
        <v>683</v>
      </c>
      <c r="J73" s="14">
        <f t="shared" si="2"/>
        <v>0.53715789473966924</v>
      </c>
    </row>
    <row r="74" spans="1:10" x14ac:dyDescent="0.2">
      <c r="A74" s="8" t="s">
        <v>473</v>
      </c>
      <c r="B74" s="8" t="s">
        <v>472</v>
      </c>
      <c r="C74" s="8" t="s">
        <v>17</v>
      </c>
      <c r="D74" s="8" t="s">
        <v>474</v>
      </c>
      <c r="E74" s="9">
        <v>377959</v>
      </c>
      <c r="F74" s="9">
        <v>578703.70369999995</v>
      </c>
      <c r="G74" s="9">
        <v>0</v>
      </c>
      <c r="H74" s="8" t="s">
        <v>27</v>
      </c>
      <c r="I74" s="8" t="s">
        <v>683</v>
      </c>
      <c r="J74" s="14">
        <f t="shared" si="2"/>
        <v>0.65311315200417996</v>
      </c>
    </row>
    <row r="75" spans="1:10" x14ac:dyDescent="0.2">
      <c r="A75" s="2" t="s">
        <v>188</v>
      </c>
      <c r="B75" s="2" t="s">
        <v>187</v>
      </c>
      <c r="C75" s="2" t="s">
        <v>37</v>
      </c>
      <c r="D75" s="2" t="s">
        <v>189</v>
      </c>
      <c r="E75" s="3">
        <v>377100</v>
      </c>
      <c r="F75" s="3">
        <v>387962.96299999999</v>
      </c>
      <c r="G75" s="3">
        <v>0</v>
      </c>
      <c r="H75" s="2" t="s">
        <v>27</v>
      </c>
      <c r="I75" s="2" t="s">
        <v>683</v>
      </c>
      <c r="J75" s="15">
        <f t="shared" si="2"/>
        <v>0.97199999990720765</v>
      </c>
    </row>
    <row r="76" spans="1:10" x14ac:dyDescent="0.2">
      <c r="A76" s="8" t="s">
        <v>310</v>
      </c>
      <c r="B76" s="8" t="s">
        <v>309</v>
      </c>
      <c r="C76" s="8" t="s">
        <v>17</v>
      </c>
      <c r="D76" s="8" t="s">
        <v>311</v>
      </c>
      <c r="E76" s="9">
        <v>375000</v>
      </c>
      <c r="F76" s="9">
        <v>439814.81479999999</v>
      </c>
      <c r="G76" s="9">
        <v>0</v>
      </c>
      <c r="H76" s="8" t="s">
        <v>27</v>
      </c>
      <c r="I76" s="8" t="s">
        <v>683</v>
      </c>
      <c r="J76" s="14">
        <f t="shared" si="2"/>
        <v>0.85263157897608866</v>
      </c>
    </row>
    <row r="77" spans="1:10" x14ac:dyDescent="0.2">
      <c r="A77" s="8" t="s">
        <v>59</v>
      </c>
      <c r="B77" s="8" t="s">
        <v>58</v>
      </c>
      <c r="C77" s="8" t="s">
        <v>17</v>
      </c>
      <c r="D77" s="8" t="s">
        <v>60</v>
      </c>
      <c r="E77" s="9">
        <v>369600</v>
      </c>
      <c r="F77" s="9">
        <v>777777.77780000004</v>
      </c>
      <c r="G77" s="9">
        <v>0</v>
      </c>
      <c r="H77" s="8" t="s">
        <v>27</v>
      </c>
      <c r="I77" s="8" t="s">
        <v>683</v>
      </c>
      <c r="J77" s="14">
        <f t="shared" si="2"/>
        <v>0.47519999998642282</v>
      </c>
    </row>
    <row r="78" spans="1:10" x14ac:dyDescent="0.2">
      <c r="A78" s="8" t="s">
        <v>420</v>
      </c>
      <c r="B78" s="8" t="s">
        <v>419</v>
      </c>
      <c r="C78" s="8" t="s">
        <v>17</v>
      </c>
      <c r="D78" s="8" t="s">
        <v>421</v>
      </c>
      <c r="E78" s="9">
        <v>362460</v>
      </c>
      <c r="F78" s="9">
        <v>399537.03700000001</v>
      </c>
      <c r="G78" s="9">
        <v>0</v>
      </c>
      <c r="H78" s="8" t="s">
        <v>27</v>
      </c>
      <c r="I78" s="8" t="s">
        <v>683</v>
      </c>
      <c r="J78" s="14">
        <f t="shared" si="2"/>
        <v>0.90720000008409729</v>
      </c>
    </row>
    <row r="79" spans="1:10" x14ac:dyDescent="0.2">
      <c r="A79" s="8" t="s">
        <v>542</v>
      </c>
      <c r="B79" s="8" t="s">
        <v>541</v>
      </c>
      <c r="C79" s="8" t="s">
        <v>17</v>
      </c>
      <c r="D79" s="8" t="s">
        <v>539</v>
      </c>
      <c r="E79" s="9">
        <v>362208</v>
      </c>
      <c r="F79" s="9">
        <v>413148.14809999999</v>
      </c>
      <c r="G79" s="9">
        <v>0</v>
      </c>
      <c r="H79" s="8" t="s">
        <v>27</v>
      </c>
      <c r="I79" s="8" t="s">
        <v>683</v>
      </c>
      <c r="J79" s="14">
        <f t="shared" si="2"/>
        <v>0.8767024653643849</v>
      </c>
    </row>
    <row r="80" spans="1:10" x14ac:dyDescent="0.2">
      <c r="A80" s="8" t="s">
        <v>184</v>
      </c>
      <c r="B80" s="8" t="s">
        <v>183</v>
      </c>
      <c r="C80" s="8" t="s">
        <v>17</v>
      </c>
      <c r="D80" s="8" t="s">
        <v>171</v>
      </c>
      <c r="E80" s="9">
        <v>356400</v>
      </c>
      <c r="F80" s="9">
        <v>366666.6667</v>
      </c>
      <c r="G80" s="9">
        <v>0</v>
      </c>
      <c r="H80" s="8" t="s">
        <v>27</v>
      </c>
      <c r="I80" s="8" t="s">
        <v>683</v>
      </c>
      <c r="J80" s="14">
        <f t="shared" si="2"/>
        <v>0.97199999991163633</v>
      </c>
    </row>
    <row r="81" spans="1:10" x14ac:dyDescent="0.2">
      <c r="A81" s="8" t="s">
        <v>54</v>
      </c>
      <c r="B81" s="8" t="s">
        <v>53</v>
      </c>
      <c r="C81" s="8" t="s">
        <v>17</v>
      </c>
      <c r="D81" s="8" t="s">
        <v>48</v>
      </c>
      <c r="E81" s="9">
        <v>354660</v>
      </c>
      <c r="F81" s="9">
        <v>775925.92599999998</v>
      </c>
      <c r="G81" s="9">
        <v>0</v>
      </c>
      <c r="H81" s="8" t="s">
        <v>27</v>
      </c>
      <c r="I81" s="8" t="s">
        <v>683</v>
      </c>
      <c r="J81" s="14">
        <f t="shared" si="2"/>
        <v>0.45707971356018334</v>
      </c>
    </row>
    <row r="82" spans="1:10" x14ac:dyDescent="0.2">
      <c r="A82" s="2" t="s">
        <v>170</v>
      </c>
      <c r="B82" s="2" t="s">
        <v>169</v>
      </c>
      <c r="C82" s="2" t="s">
        <v>116</v>
      </c>
      <c r="D82" s="2" t="s">
        <v>166</v>
      </c>
      <c r="E82" s="3">
        <v>348840</v>
      </c>
      <c r="F82" s="3">
        <v>380000</v>
      </c>
      <c r="G82" s="3">
        <v>0</v>
      </c>
      <c r="H82" s="2" t="s">
        <v>27</v>
      </c>
      <c r="I82" s="2" t="s">
        <v>683</v>
      </c>
      <c r="J82" s="15">
        <f t="shared" si="2"/>
        <v>0.91800000000000004</v>
      </c>
    </row>
    <row r="83" spans="1:10" x14ac:dyDescent="0.2">
      <c r="A83" s="8" t="s">
        <v>488</v>
      </c>
      <c r="B83" s="8" t="s">
        <v>487</v>
      </c>
      <c r="C83" s="8" t="s">
        <v>17</v>
      </c>
      <c r="D83" s="8" t="s">
        <v>484</v>
      </c>
      <c r="E83" s="9">
        <v>330460</v>
      </c>
      <c r="F83" s="9">
        <v>373148.14809999999</v>
      </c>
      <c r="G83" s="9">
        <v>0</v>
      </c>
      <c r="H83" s="8" t="s">
        <v>27</v>
      </c>
      <c r="I83" s="8" t="s">
        <v>683</v>
      </c>
      <c r="J83" s="14">
        <f t="shared" si="2"/>
        <v>0.88560000011427098</v>
      </c>
    </row>
    <row r="84" spans="1:10" x14ac:dyDescent="0.2">
      <c r="A84" s="8" t="s">
        <v>463</v>
      </c>
      <c r="B84" s="8" t="s">
        <v>462</v>
      </c>
      <c r="C84" s="8" t="s">
        <v>17</v>
      </c>
      <c r="D84" s="8" t="s">
        <v>464</v>
      </c>
      <c r="E84" s="9">
        <v>328391</v>
      </c>
      <c r="F84" s="9">
        <v>483796.29629999999</v>
      </c>
      <c r="G84" s="9">
        <v>0</v>
      </c>
      <c r="H84" s="8" t="s">
        <v>27</v>
      </c>
      <c r="I84" s="8" t="s">
        <v>683</v>
      </c>
      <c r="J84" s="14">
        <f t="shared" si="2"/>
        <v>0.6787794832483921</v>
      </c>
    </row>
    <row r="85" spans="1:10" x14ac:dyDescent="0.2">
      <c r="A85" s="8" t="s">
        <v>15</v>
      </c>
      <c r="B85" s="8" t="s">
        <v>14</v>
      </c>
      <c r="C85" s="8" t="s">
        <v>17</v>
      </c>
      <c r="D85" s="8" t="s">
        <v>16</v>
      </c>
      <c r="E85" s="9">
        <v>326700</v>
      </c>
      <c r="F85" s="9">
        <v>336111.11109999998</v>
      </c>
      <c r="G85" s="9">
        <v>0</v>
      </c>
      <c r="H85" s="8" t="s">
        <v>27</v>
      </c>
      <c r="I85" s="8" t="s">
        <v>683</v>
      </c>
      <c r="J85" s="14">
        <f t="shared" si="2"/>
        <v>0.97200000003213227</v>
      </c>
    </row>
    <row r="86" spans="1:10" x14ac:dyDescent="0.2">
      <c r="A86" s="2" t="s">
        <v>71</v>
      </c>
      <c r="B86" s="2" t="s">
        <v>70</v>
      </c>
      <c r="C86" s="2" t="s">
        <v>37</v>
      </c>
      <c r="D86" s="2" t="s">
        <v>72</v>
      </c>
      <c r="E86" s="3">
        <v>325204</v>
      </c>
      <c r="F86" s="3">
        <v>702361.11120000004</v>
      </c>
      <c r="G86" s="3">
        <v>0</v>
      </c>
      <c r="H86" s="2" t="s">
        <v>27</v>
      </c>
      <c r="I86" s="2" t="s">
        <v>683</v>
      </c>
      <c r="J86" s="15">
        <f t="shared" si="2"/>
        <v>0.46301538455678665</v>
      </c>
    </row>
    <row r="87" spans="1:10" x14ac:dyDescent="0.2">
      <c r="A87" s="8" t="s">
        <v>51</v>
      </c>
      <c r="B87" s="8" t="s">
        <v>50</v>
      </c>
      <c r="C87" s="8" t="s">
        <v>17</v>
      </c>
      <c r="D87" s="8" t="s">
        <v>52</v>
      </c>
      <c r="E87" s="9">
        <v>316000</v>
      </c>
      <c r="F87" s="9">
        <v>666666.6666</v>
      </c>
      <c r="G87" s="9">
        <v>0</v>
      </c>
      <c r="H87" s="8" t="s">
        <v>27</v>
      </c>
      <c r="I87" s="8" t="s">
        <v>683</v>
      </c>
      <c r="J87" s="14">
        <f t="shared" si="2"/>
        <v>0.47400000004740001</v>
      </c>
    </row>
    <row r="88" spans="1:10" x14ac:dyDescent="0.2">
      <c r="A88" s="2" t="s">
        <v>135</v>
      </c>
      <c r="B88" s="2" t="s">
        <v>134</v>
      </c>
      <c r="C88" s="2" t="s">
        <v>116</v>
      </c>
      <c r="D88" s="2" t="s">
        <v>131</v>
      </c>
      <c r="E88" s="3">
        <v>308600</v>
      </c>
      <c r="F88" s="3">
        <v>322777.77779999998</v>
      </c>
      <c r="G88" s="3">
        <v>0</v>
      </c>
      <c r="H88" s="2" t="s">
        <v>27</v>
      </c>
      <c r="I88" s="2" t="s">
        <v>683</v>
      </c>
      <c r="J88" s="15">
        <f t="shared" si="2"/>
        <v>0.95607573143159552</v>
      </c>
    </row>
    <row r="89" spans="1:10" x14ac:dyDescent="0.2">
      <c r="A89" s="8" t="s">
        <v>402</v>
      </c>
      <c r="B89" s="8" t="s">
        <v>401</v>
      </c>
      <c r="C89" s="8" t="s">
        <v>17</v>
      </c>
      <c r="D89" s="8" t="s">
        <v>403</v>
      </c>
      <c r="E89" s="9">
        <v>306600</v>
      </c>
      <c r="F89" s="9">
        <v>337962.96299999999</v>
      </c>
      <c r="G89" s="9">
        <v>0</v>
      </c>
      <c r="H89" s="8" t="s">
        <v>27</v>
      </c>
      <c r="I89" s="8" t="s">
        <v>683</v>
      </c>
      <c r="J89" s="14">
        <f t="shared" si="2"/>
        <v>0.90719999990058087</v>
      </c>
    </row>
    <row r="90" spans="1:10" x14ac:dyDescent="0.2">
      <c r="A90" s="2" t="s">
        <v>130</v>
      </c>
      <c r="B90" s="2" t="s">
        <v>129</v>
      </c>
      <c r="C90" s="2" t="s">
        <v>37</v>
      </c>
      <c r="D90" s="2" t="s">
        <v>131</v>
      </c>
      <c r="E90" s="3">
        <v>300612</v>
      </c>
      <c r="F90" s="3">
        <v>339444.44439999998</v>
      </c>
      <c r="G90" s="3">
        <v>0</v>
      </c>
      <c r="H90" s="2" t="s">
        <v>27</v>
      </c>
      <c r="I90" s="2" t="s">
        <v>683</v>
      </c>
      <c r="J90" s="15">
        <f t="shared" si="2"/>
        <v>0.88560000011595419</v>
      </c>
    </row>
    <row r="91" spans="1:10" x14ac:dyDescent="0.2">
      <c r="A91" s="8" t="s">
        <v>329</v>
      </c>
      <c r="B91" s="8" t="s">
        <v>328</v>
      </c>
      <c r="C91" s="8" t="s">
        <v>17</v>
      </c>
      <c r="D91" s="8" t="s">
        <v>330</v>
      </c>
      <c r="E91" s="9">
        <v>298302</v>
      </c>
      <c r="F91" s="9">
        <v>346666.6667</v>
      </c>
      <c r="G91" s="9">
        <v>0</v>
      </c>
      <c r="H91" s="8" t="s">
        <v>27</v>
      </c>
      <c r="I91" s="8" t="s">
        <v>683</v>
      </c>
      <c r="J91" s="14">
        <f t="shared" si="2"/>
        <v>0.8604865383787994</v>
      </c>
    </row>
    <row r="92" spans="1:10" x14ac:dyDescent="0.2">
      <c r="A92" s="8" t="s">
        <v>544</v>
      </c>
      <c r="B92" s="8" t="s">
        <v>543</v>
      </c>
      <c r="C92" s="8" t="s">
        <v>17</v>
      </c>
      <c r="D92" s="8" t="s">
        <v>540</v>
      </c>
      <c r="E92" s="9">
        <v>280560</v>
      </c>
      <c r="F92" s="9">
        <v>309259.25919999997</v>
      </c>
      <c r="G92" s="9">
        <v>0</v>
      </c>
      <c r="H92" s="8" t="s">
        <v>27</v>
      </c>
      <c r="I92" s="8" t="s">
        <v>683</v>
      </c>
      <c r="J92" s="14">
        <f t="shared" si="2"/>
        <v>0.90720000017383484</v>
      </c>
    </row>
    <row r="93" spans="1:10" x14ac:dyDescent="0.2">
      <c r="A93" s="2" t="s">
        <v>347</v>
      </c>
      <c r="B93" s="2" t="s">
        <v>346</v>
      </c>
      <c r="C93" s="2" t="s">
        <v>37</v>
      </c>
      <c r="D93" s="2" t="s">
        <v>348</v>
      </c>
      <c r="E93" s="3">
        <v>280000</v>
      </c>
      <c r="F93" s="3">
        <v>324074.07410000003</v>
      </c>
      <c r="G93" s="3">
        <v>0</v>
      </c>
      <c r="H93" s="2" t="s">
        <v>27</v>
      </c>
      <c r="I93" s="2" t="s">
        <v>683</v>
      </c>
      <c r="J93" s="15">
        <f t="shared" si="2"/>
        <v>0.86399999993087995</v>
      </c>
    </row>
    <row r="94" spans="1:10" x14ac:dyDescent="0.2">
      <c r="A94" s="8" t="s">
        <v>203</v>
      </c>
      <c r="B94" s="8" t="s">
        <v>202</v>
      </c>
      <c r="C94" s="8" t="s">
        <v>17</v>
      </c>
      <c r="D94" s="8" t="s">
        <v>204</v>
      </c>
      <c r="E94" s="9">
        <v>264382</v>
      </c>
      <c r="F94" s="9">
        <v>330462.96299999999</v>
      </c>
      <c r="G94" s="9">
        <v>0</v>
      </c>
      <c r="H94" s="8" t="s">
        <v>27</v>
      </c>
      <c r="I94" s="8" t="s">
        <v>683</v>
      </c>
      <c r="J94" s="14">
        <f t="shared" si="2"/>
        <v>0.80003519184084781</v>
      </c>
    </row>
    <row r="95" spans="1:10" x14ac:dyDescent="0.2">
      <c r="A95" s="8" t="s">
        <v>287</v>
      </c>
      <c r="B95" s="8" t="s">
        <v>286</v>
      </c>
      <c r="C95" s="8" t="s">
        <v>17</v>
      </c>
      <c r="D95" s="8" t="s">
        <v>271</v>
      </c>
      <c r="E95" s="9">
        <v>262080</v>
      </c>
      <c r="F95" s="9">
        <v>288888.88890000002</v>
      </c>
      <c r="G95" s="9">
        <v>0</v>
      </c>
      <c r="H95" s="8" t="s">
        <v>27</v>
      </c>
      <c r="I95" s="8" t="s">
        <v>683</v>
      </c>
      <c r="J95" s="14">
        <f t="shared" si="2"/>
        <v>0.90719999996510758</v>
      </c>
    </row>
    <row r="96" spans="1:10" x14ac:dyDescent="0.2">
      <c r="A96" s="2" t="s">
        <v>305</v>
      </c>
      <c r="B96" s="2" t="s">
        <v>304</v>
      </c>
      <c r="C96" s="2" t="s">
        <v>37</v>
      </c>
      <c r="D96" s="2" t="s">
        <v>300</v>
      </c>
      <c r="E96" s="3">
        <v>258000</v>
      </c>
      <c r="F96" s="3">
        <v>298611.11109999998</v>
      </c>
      <c r="G96" s="3">
        <v>0</v>
      </c>
      <c r="H96" s="2" t="s">
        <v>27</v>
      </c>
      <c r="I96" s="2" t="s">
        <v>683</v>
      </c>
      <c r="J96" s="15">
        <f t="shared" si="2"/>
        <v>0.86400000003214894</v>
      </c>
    </row>
    <row r="97" spans="1:10" x14ac:dyDescent="0.2">
      <c r="A97" s="8" t="s">
        <v>415</v>
      </c>
      <c r="B97" s="8" t="s">
        <v>414</v>
      </c>
      <c r="C97" s="8" t="s">
        <v>17</v>
      </c>
      <c r="D97" s="8" t="s">
        <v>416</v>
      </c>
      <c r="E97" s="9">
        <v>254550</v>
      </c>
      <c r="F97" s="9">
        <v>351851.85190000001</v>
      </c>
      <c r="G97" s="9">
        <v>0</v>
      </c>
      <c r="H97" s="8" t="s">
        <v>27</v>
      </c>
      <c r="I97" s="8" t="s">
        <v>683</v>
      </c>
      <c r="J97" s="14">
        <f t="shared" si="2"/>
        <v>0.7234578946378426</v>
      </c>
    </row>
    <row r="98" spans="1:10" x14ac:dyDescent="0.2">
      <c r="A98" s="8" t="s">
        <v>98</v>
      </c>
      <c r="B98" s="8" t="s">
        <v>97</v>
      </c>
      <c r="C98" s="8" t="s">
        <v>17</v>
      </c>
      <c r="D98" s="8" t="s">
        <v>99</v>
      </c>
      <c r="E98" s="9">
        <v>244800</v>
      </c>
      <c r="F98" s="9">
        <v>266666.6667</v>
      </c>
      <c r="G98" s="9">
        <v>0</v>
      </c>
      <c r="H98" s="8" t="s">
        <v>27</v>
      </c>
      <c r="I98" s="8" t="s">
        <v>683</v>
      </c>
      <c r="J98" s="14">
        <f t="shared" ref="J98:J111" si="3">IF(F98=0,"",E98/F98)</f>
        <v>0.91799999988524994</v>
      </c>
    </row>
    <row r="99" spans="1:10" x14ac:dyDescent="0.2">
      <c r="A99" s="2" t="s">
        <v>342</v>
      </c>
      <c r="B99" s="2" t="s">
        <v>341</v>
      </c>
      <c r="C99" s="2" t="s">
        <v>37</v>
      </c>
      <c r="D99" s="2" t="s">
        <v>338</v>
      </c>
      <c r="E99" s="3">
        <v>233600</v>
      </c>
      <c r="F99" s="3">
        <v>270370.37040000001</v>
      </c>
      <c r="G99" s="3">
        <v>0</v>
      </c>
      <c r="H99" s="2" t="s">
        <v>27</v>
      </c>
      <c r="I99" s="2" t="s">
        <v>683</v>
      </c>
      <c r="J99" s="15">
        <f t="shared" si="3"/>
        <v>0.86399999990531506</v>
      </c>
    </row>
    <row r="100" spans="1:10" x14ac:dyDescent="0.2">
      <c r="A100" s="8" t="s">
        <v>451</v>
      </c>
      <c r="B100" s="8" t="s">
        <v>450</v>
      </c>
      <c r="C100" s="8" t="s">
        <v>17</v>
      </c>
      <c r="D100" s="8" t="s">
        <v>452</v>
      </c>
      <c r="E100" s="9">
        <v>230325</v>
      </c>
      <c r="F100" s="9">
        <v>256944.44440000001</v>
      </c>
      <c r="G100" s="9">
        <v>0</v>
      </c>
      <c r="H100" s="8" t="s">
        <v>27</v>
      </c>
      <c r="I100" s="8" t="s">
        <v>683</v>
      </c>
      <c r="J100" s="14">
        <f t="shared" si="3"/>
        <v>0.89640000015505295</v>
      </c>
    </row>
    <row r="101" spans="1:10" x14ac:dyDescent="0.2">
      <c r="A101" s="2" t="s">
        <v>34</v>
      </c>
      <c r="B101" s="2" t="s">
        <v>33</v>
      </c>
      <c r="C101" s="2" t="s">
        <v>37</v>
      </c>
      <c r="D101" s="2" t="s">
        <v>35</v>
      </c>
      <c r="E101" s="3">
        <v>216660</v>
      </c>
      <c r="F101" s="3">
        <v>218055.55559999999</v>
      </c>
      <c r="G101" s="3">
        <v>0</v>
      </c>
      <c r="H101" s="2" t="s">
        <v>27</v>
      </c>
      <c r="I101" s="2" t="s">
        <v>683</v>
      </c>
      <c r="J101" s="15">
        <f t="shared" si="3"/>
        <v>0.99359999979748281</v>
      </c>
    </row>
    <row r="102" spans="1:10" x14ac:dyDescent="0.2">
      <c r="A102" s="8" t="s">
        <v>496</v>
      </c>
      <c r="B102" s="8" t="s">
        <v>495</v>
      </c>
      <c r="C102" s="8" t="s">
        <v>17</v>
      </c>
      <c r="D102" s="8" t="s">
        <v>485</v>
      </c>
      <c r="E102" s="9">
        <v>0</v>
      </c>
      <c r="F102" s="9">
        <v>486111.11109999998</v>
      </c>
      <c r="G102" s="9">
        <v>0</v>
      </c>
      <c r="H102" s="8" t="s">
        <v>27</v>
      </c>
      <c r="I102" s="8" t="s">
        <v>683</v>
      </c>
      <c r="J102" s="14">
        <f t="shared" si="3"/>
        <v>0</v>
      </c>
    </row>
    <row r="103" spans="1:10" x14ac:dyDescent="0.2">
      <c r="A103" s="8" t="s">
        <v>411</v>
      </c>
      <c r="B103" s="8" t="s">
        <v>410</v>
      </c>
      <c r="C103" s="8" t="s">
        <v>17</v>
      </c>
      <c r="D103" s="8" t="s">
        <v>412</v>
      </c>
      <c r="E103" s="9">
        <v>0</v>
      </c>
      <c r="F103" s="9">
        <v>578703.70369999995</v>
      </c>
      <c r="G103" s="9">
        <v>0</v>
      </c>
      <c r="H103" s="8" t="s">
        <v>27</v>
      </c>
      <c r="I103" s="8" t="s">
        <v>683</v>
      </c>
      <c r="J103" s="14">
        <f t="shared" si="3"/>
        <v>0</v>
      </c>
    </row>
    <row r="104" spans="1:10" x14ac:dyDescent="0.2">
      <c r="A104" s="8" t="s">
        <v>359</v>
      </c>
      <c r="B104" s="8" t="s">
        <v>358</v>
      </c>
      <c r="C104" s="8" t="s">
        <v>17</v>
      </c>
      <c r="D104" s="8" t="s">
        <v>360</v>
      </c>
      <c r="E104" s="9">
        <v>0</v>
      </c>
      <c r="F104" s="9">
        <v>1319444.4443999999</v>
      </c>
      <c r="G104" s="9">
        <v>0</v>
      </c>
      <c r="H104" s="8" t="s">
        <v>27</v>
      </c>
      <c r="I104" s="8" t="s">
        <v>683</v>
      </c>
      <c r="J104" s="14">
        <f t="shared" si="3"/>
        <v>0</v>
      </c>
    </row>
    <row r="105" spans="1:10" x14ac:dyDescent="0.2">
      <c r="A105" s="2" t="s">
        <v>334</v>
      </c>
      <c r="B105" s="2" t="s">
        <v>333</v>
      </c>
      <c r="C105" s="2" t="s">
        <v>116</v>
      </c>
      <c r="D105" s="2" t="s">
        <v>330</v>
      </c>
      <c r="E105" s="3">
        <v>0</v>
      </c>
      <c r="F105" s="3">
        <v>737500</v>
      </c>
      <c r="G105" s="3">
        <v>0</v>
      </c>
      <c r="H105" s="2" t="s">
        <v>27</v>
      </c>
      <c r="I105" s="2" t="s">
        <v>683</v>
      </c>
      <c r="J105" s="15">
        <f t="shared" si="3"/>
        <v>0</v>
      </c>
    </row>
    <row r="106" spans="1:10" x14ac:dyDescent="0.2">
      <c r="A106" s="8" t="s">
        <v>325</v>
      </c>
      <c r="B106" s="8" t="s">
        <v>324</v>
      </c>
      <c r="C106" s="8" t="s">
        <v>17</v>
      </c>
      <c r="D106" s="8" t="s">
        <v>326</v>
      </c>
      <c r="E106" s="9">
        <v>0</v>
      </c>
      <c r="F106" s="9">
        <v>387962.96299999999</v>
      </c>
      <c r="G106" s="9">
        <v>0</v>
      </c>
      <c r="H106" s="8" t="s">
        <v>27</v>
      </c>
      <c r="I106" s="8" t="s">
        <v>683</v>
      </c>
      <c r="J106" s="14">
        <f t="shared" si="3"/>
        <v>0</v>
      </c>
    </row>
    <row r="107" spans="1:10" x14ac:dyDescent="0.2">
      <c r="A107" s="8" t="s">
        <v>139</v>
      </c>
      <c r="B107" s="8" t="s">
        <v>138</v>
      </c>
      <c r="C107" s="8" t="s">
        <v>17</v>
      </c>
      <c r="D107" s="8" t="s">
        <v>140</v>
      </c>
      <c r="E107" s="9">
        <v>0</v>
      </c>
      <c r="F107" s="9">
        <v>820000</v>
      </c>
      <c r="G107" s="9">
        <v>0</v>
      </c>
      <c r="H107" s="8" t="s">
        <v>27</v>
      </c>
      <c r="I107" s="8" t="s">
        <v>683</v>
      </c>
      <c r="J107" s="14">
        <f t="shared" si="3"/>
        <v>0</v>
      </c>
    </row>
    <row r="108" spans="1:10" x14ac:dyDescent="0.2">
      <c r="A108" s="8" t="s">
        <v>109</v>
      </c>
      <c r="B108" s="8" t="s">
        <v>108</v>
      </c>
      <c r="C108" s="8" t="s">
        <v>17</v>
      </c>
      <c r="D108" s="8" t="s">
        <v>110</v>
      </c>
      <c r="E108" s="9">
        <v>0</v>
      </c>
      <c r="F108" s="9">
        <v>325000</v>
      </c>
      <c r="G108" s="9">
        <v>0</v>
      </c>
      <c r="H108" s="8" t="s">
        <v>27</v>
      </c>
      <c r="I108" s="8" t="s">
        <v>683</v>
      </c>
      <c r="J108" s="14">
        <f t="shared" si="3"/>
        <v>0</v>
      </c>
    </row>
    <row r="109" spans="1:10" x14ac:dyDescent="0.2">
      <c r="A109" s="4" t="s">
        <v>113</v>
      </c>
      <c r="B109" s="4" t="s">
        <v>112</v>
      </c>
      <c r="C109" s="4" t="s">
        <v>116</v>
      </c>
      <c r="D109" s="4" t="s">
        <v>114</v>
      </c>
      <c r="E109" s="5">
        <v>0</v>
      </c>
      <c r="F109" s="5">
        <v>0</v>
      </c>
      <c r="G109" s="5">
        <v>0</v>
      </c>
      <c r="H109" s="4" t="s">
        <v>20</v>
      </c>
      <c r="I109" s="4" t="s">
        <v>684</v>
      </c>
      <c r="J109" s="16" t="str">
        <f t="shared" si="3"/>
        <v/>
      </c>
    </row>
    <row r="110" spans="1:10" x14ac:dyDescent="0.2">
      <c r="A110" s="8" t="s">
        <v>66</v>
      </c>
      <c r="B110" s="8" t="s">
        <v>65</v>
      </c>
      <c r="C110" s="8" t="s">
        <v>17</v>
      </c>
      <c r="D110" s="8" t="s">
        <v>67</v>
      </c>
      <c r="E110" s="9">
        <v>0</v>
      </c>
      <c r="F110" s="9">
        <v>416944.44439999998</v>
      </c>
      <c r="G110" s="9">
        <v>0</v>
      </c>
      <c r="H110" s="8" t="s">
        <v>27</v>
      </c>
      <c r="I110" s="8" t="s">
        <v>683</v>
      </c>
      <c r="J110" s="14">
        <f t="shared" si="3"/>
        <v>0</v>
      </c>
    </row>
    <row r="111" spans="1:10" x14ac:dyDescent="0.2">
      <c r="A111" s="8" t="s">
        <v>41</v>
      </c>
      <c r="B111" s="8" t="s">
        <v>40</v>
      </c>
      <c r="C111" s="8" t="s">
        <v>17</v>
      </c>
      <c r="D111" s="8" t="s">
        <v>42</v>
      </c>
      <c r="E111" s="9">
        <v>0</v>
      </c>
      <c r="F111" s="9">
        <v>886666.6666</v>
      </c>
      <c r="G111" s="9">
        <v>0</v>
      </c>
      <c r="H111" s="8" t="s">
        <v>27</v>
      </c>
      <c r="I111" s="8" t="s">
        <v>683</v>
      </c>
      <c r="J111" s="14">
        <f t="shared" si="3"/>
        <v>0</v>
      </c>
    </row>
    <row r="114" spans="1:10" ht="20" customHeight="1" x14ac:dyDescent="0.2">
      <c r="A114" s="23" t="s">
        <v>555</v>
      </c>
      <c r="B114" s="24"/>
      <c r="C114" s="24"/>
      <c r="D114" s="24"/>
      <c r="E114" s="24"/>
      <c r="F114" s="24"/>
      <c r="G114" s="24"/>
      <c r="H114" s="24"/>
      <c r="I114" s="24"/>
      <c r="J114" s="24"/>
    </row>
    <row r="115" spans="1:10" ht="30" customHeight="1" x14ac:dyDescent="0.2">
      <c r="A115" s="25" t="s">
        <v>685</v>
      </c>
      <c r="B115" s="24"/>
      <c r="C115" s="24"/>
      <c r="D115" s="24"/>
      <c r="E115" s="24"/>
      <c r="F115" s="24"/>
      <c r="G115" s="24"/>
      <c r="H115" s="24"/>
      <c r="I115" s="24"/>
      <c r="J115" s="24"/>
    </row>
    <row r="116" spans="1:10" ht="30" customHeight="1" x14ac:dyDescent="0.2">
      <c r="A116" s="25" t="s">
        <v>686</v>
      </c>
      <c r="B116" s="24"/>
      <c r="C116" s="24"/>
      <c r="D116" s="24"/>
      <c r="E116" s="24"/>
      <c r="F116" s="24"/>
      <c r="G116" s="24"/>
      <c r="H116" s="24"/>
      <c r="I116" s="24"/>
      <c r="J116" s="24"/>
    </row>
    <row r="117" spans="1:10" ht="30" customHeight="1" x14ac:dyDescent="0.2">
      <c r="A117" s="25" t="s">
        <v>687</v>
      </c>
      <c r="B117" s="24"/>
      <c r="C117" s="24"/>
      <c r="D117" s="24"/>
      <c r="E117" s="24"/>
      <c r="F117" s="24"/>
      <c r="G117" s="24"/>
      <c r="H117" s="24"/>
      <c r="I117" s="24"/>
      <c r="J117" s="24"/>
    </row>
    <row r="118" spans="1:10" ht="30" customHeight="1" x14ac:dyDescent="0.2">
      <c r="A118" s="25" t="s">
        <v>688</v>
      </c>
      <c r="B118" s="24"/>
      <c r="C118" s="24"/>
      <c r="D118" s="24"/>
      <c r="E118" s="24"/>
      <c r="F118" s="24"/>
      <c r="G118" s="24"/>
      <c r="H118" s="24"/>
      <c r="I118" s="24"/>
      <c r="J118" s="24"/>
    </row>
  </sheetData>
  <mergeCells count="5">
    <mergeCell ref="A116:J116"/>
    <mergeCell ref="A115:J115"/>
    <mergeCell ref="A117:J117"/>
    <mergeCell ref="A118:J118"/>
    <mergeCell ref="A114:J11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2" width="19" customWidth="1"/>
    <col min="3" max="3" width="12" customWidth="1"/>
    <col min="4" max="4" width="13" customWidth="1"/>
    <col min="5" max="5" width="15" customWidth="1"/>
    <col min="6" max="6" width="52" customWidth="1"/>
  </cols>
  <sheetData>
    <row r="1" spans="1:6" ht="34" customHeight="1" x14ac:dyDescent="0.2">
      <c r="A1" s="1" t="s">
        <v>1</v>
      </c>
      <c r="B1" s="1" t="s">
        <v>0</v>
      </c>
      <c r="C1" s="1" t="s">
        <v>689</v>
      </c>
      <c r="D1" s="1" t="s">
        <v>4</v>
      </c>
      <c r="E1" s="1" t="s">
        <v>690</v>
      </c>
      <c r="F1" s="1" t="s">
        <v>691</v>
      </c>
    </row>
    <row r="2" spans="1:6" x14ac:dyDescent="0.2">
      <c r="A2" s="8" t="s">
        <v>315</v>
      </c>
      <c r="B2" s="8" t="s">
        <v>314</v>
      </c>
      <c r="C2" s="8" t="s">
        <v>316</v>
      </c>
      <c r="D2" s="8" t="s">
        <v>116</v>
      </c>
      <c r="E2" s="9">
        <v>2011035</v>
      </c>
      <c r="F2" s="8" t="s">
        <v>692</v>
      </c>
    </row>
    <row r="3" spans="1:6" x14ac:dyDescent="0.2">
      <c r="A3" s="17" t="s">
        <v>315</v>
      </c>
      <c r="B3" s="17" t="s">
        <v>320</v>
      </c>
      <c r="C3" s="17" t="s">
        <v>317</v>
      </c>
      <c r="D3" s="17" t="s">
        <v>37</v>
      </c>
      <c r="E3" s="18">
        <v>2011035</v>
      </c>
      <c r="F3" s="17" t="s">
        <v>693</v>
      </c>
    </row>
    <row r="5" spans="1:6" x14ac:dyDescent="0.2">
      <c r="A5" s="8" t="s">
        <v>386</v>
      </c>
      <c r="B5" s="8" t="s">
        <v>385</v>
      </c>
      <c r="C5" s="8" t="s">
        <v>387</v>
      </c>
      <c r="D5" s="8" t="s">
        <v>116</v>
      </c>
      <c r="E5" s="9">
        <v>1926990</v>
      </c>
      <c r="F5" s="8" t="s">
        <v>692</v>
      </c>
    </row>
    <row r="6" spans="1:6" x14ac:dyDescent="0.2">
      <c r="A6" s="17" t="s">
        <v>386</v>
      </c>
      <c r="B6" s="17" t="s">
        <v>390</v>
      </c>
      <c r="C6" s="17" t="s">
        <v>391</v>
      </c>
      <c r="D6" s="17" t="s">
        <v>17</v>
      </c>
      <c r="E6" s="18">
        <v>1926990</v>
      </c>
      <c r="F6" s="17" t="s">
        <v>693</v>
      </c>
    </row>
    <row r="8" spans="1:6" x14ac:dyDescent="0.2">
      <c r="A8" s="8" t="s">
        <v>442</v>
      </c>
      <c r="B8" s="8" t="s">
        <v>441</v>
      </c>
      <c r="C8" s="8" t="s">
        <v>443</v>
      </c>
      <c r="D8" s="8" t="s">
        <v>116</v>
      </c>
      <c r="E8" s="9">
        <v>379720</v>
      </c>
      <c r="F8" s="8" t="s">
        <v>692</v>
      </c>
    </row>
    <row r="9" spans="1:6" x14ac:dyDescent="0.2">
      <c r="A9" s="17" t="s">
        <v>442</v>
      </c>
      <c r="B9" s="17" t="s">
        <v>446</v>
      </c>
      <c r="C9" s="17" t="s">
        <v>443</v>
      </c>
      <c r="D9" s="17" t="s">
        <v>17</v>
      </c>
      <c r="E9" s="18">
        <v>379720</v>
      </c>
      <c r="F9" s="17" t="s">
        <v>693</v>
      </c>
    </row>
    <row r="11" spans="1:6" x14ac:dyDescent="0.2">
      <c r="A11" s="8" t="s">
        <v>478</v>
      </c>
      <c r="B11" s="8" t="s">
        <v>477</v>
      </c>
      <c r="C11" s="8" t="s">
        <v>479</v>
      </c>
      <c r="D11" s="8" t="s">
        <v>116</v>
      </c>
      <c r="E11" s="9">
        <v>3271800</v>
      </c>
      <c r="F11" s="8" t="s">
        <v>692</v>
      </c>
    </row>
    <row r="12" spans="1:6" x14ac:dyDescent="0.2">
      <c r="A12" s="17" t="s">
        <v>478</v>
      </c>
      <c r="B12" s="17" t="s">
        <v>491</v>
      </c>
      <c r="C12" s="17" t="s">
        <v>492</v>
      </c>
      <c r="D12" s="17" t="s">
        <v>17</v>
      </c>
      <c r="E12" s="18">
        <v>3271800</v>
      </c>
      <c r="F12" s="17" t="s">
        <v>693</v>
      </c>
    </row>
    <row r="14" spans="1:6" x14ac:dyDescent="0.2">
      <c r="A14" s="8" t="s">
        <v>504</v>
      </c>
      <c r="B14" s="8" t="s">
        <v>503</v>
      </c>
      <c r="C14" s="8" t="s">
        <v>505</v>
      </c>
      <c r="D14" s="8" t="s">
        <v>116</v>
      </c>
      <c r="E14" s="9">
        <v>704000</v>
      </c>
      <c r="F14" s="8" t="s">
        <v>692</v>
      </c>
    </row>
    <row r="15" spans="1:6" x14ac:dyDescent="0.2">
      <c r="A15" s="17" t="s">
        <v>504</v>
      </c>
      <c r="B15" s="17" t="s">
        <v>513</v>
      </c>
      <c r="C15" s="17" t="s">
        <v>509</v>
      </c>
      <c r="D15" s="17" t="s">
        <v>17</v>
      </c>
      <c r="E15" s="18">
        <v>704000</v>
      </c>
      <c r="F15" s="17" t="s">
        <v>693</v>
      </c>
    </row>
    <row r="17" spans="1:6" x14ac:dyDescent="0.2">
      <c r="A17" s="8" t="s">
        <v>531</v>
      </c>
      <c r="B17" s="8" t="s">
        <v>530</v>
      </c>
      <c r="C17" s="8" t="s">
        <v>532</v>
      </c>
      <c r="D17" s="8" t="s">
        <v>116</v>
      </c>
      <c r="E17" s="9">
        <v>3333150</v>
      </c>
      <c r="F17" s="8" t="s">
        <v>692</v>
      </c>
    </row>
    <row r="18" spans="1:6" x14ac:dyDescent="0.2">
      <c r="A18" s="8" t="s">
        <v>531</v>
      </c>
      <c r="B18" s="8" t="s">
        <v>534</v>
      </c>
      <c r="C18" s="8" t="s">
        <v>535</v>
      </c>
      <c r="D18" s="8" t="s">
        <v>116</v>
      </c>
      <c r="E18" s="9">
        <v>3333150</v>
      </c>
      <c r="F18" s="8" t="s">
        <v>692</v>
      </c>
    </row>
    <row r="21" spans="1:6" ht="20" customHeight="1" x14ac:dyDescent="0.2">
      <c r="A21" s="23" t="s">
        <v>694</v>
      </c>
      <c r="B21" s="24"/>
      <c r="C21" s="24"/>
      <c r="D21" s="24"/>
      <c r="E21" s="24"/>
      <c r="F21" s="24"/>
    </row>
    <row r="22" spans="1:6" ht="30" customHeight="1" x14ac:dyDescent="0.2">
      <c r="A22" s="25" t="s">
        <v>695</v>
      </c>
      <c r="B22" s="24"/>
      <c r="C22" s="24"/>
      <c r="D22" s="24"/>
      <c r="E22" s="24"/>
      <c r="F22" s="24"/>
    </row>
    <row r="23" spans="1:6" ht="30" customHeight="1" x14ac:dyDescent="0.2">
      <c r="A23" s="25" t="s">
        <v>696</v>
      </c>
      <c r="B23" s="24"/>
      <c r="C23" s="24"/>
      <c r="D23" s="24"/>
      <c r="E23" s="24"/>
      <c r="F23" s="24"/>
    </row>
    <row r="24" spans="1:6" ht="30" customHeight="1" x14ac:dyDescent="0.2">
      <c r="A24" s="25" t="s">
        <v>697</v>
      </c>
      <c r="B24" s="24"/>
      <c r="C24" s="24"/>
      <c r="D24" s="24"/>
      <c r="E24" s="24"/>
      <c r="F24" s="24"/>
    </row>
    <row r="25" spans="1:6" ht="30" customHeight="1" x14ac:dyDescent="0.2">
      <c r="A25" s="25" t="s">
        <v>698</v>
      </c>
      <c r="B25" s="24"/>
      <c r="C25" s="24"/>
      <c r="D25" s="24"/>
      <c r="E25" s="24"/>
      <c r="F25" s="24"/>
    </row>
  </sheetData>
  <mergeCells count="5">
    <mergeCell ref="A24:F24"/>
    <mergeCell ref="A23:F23"/>
    <mergeCell ref="A22:F22"/>
    <mergeCell ref="A21:F21"/>
    <mergeCell ref="A25:F2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
  <sheetViews>
    <sheetView workbookViewId="0">
      <pane ySplit="1" topLeftCell="A2" activePane="bottomLeft" state="frozen"/>
      <selection pane="bottomLeft"/>
    </sheetView>
  </sheetViews>
  <sheetFormatPr baseColWidth="10" defaultColWidth="8.83203125" defaultRowHeight="15" x14ac:dyDescent="0.2"/>
  <cols>
    <col min="1" max="1" width="34" customWidth="1"/>
    <col min="2" max="2" width="9" customWidth="1"/>
    <col min="3" max="3" width="22" customWidth="1"/>
    <col min="4" max="4" width="13" customWidth="1"/>
    <col min="5" max="5" width="22" customWidth="1"/>
    <col min="6" max="6" width="13" customWidth="1"/>
    <col min="7" max="7" width="50" customWidth="1"/>
  </cols>
  <sheetData>
    <row r="1" spans="1:7" ht="34" customHeight="1" x14ac:dyDescent="0.2">
      <c r="A1" s="1" t="s">
        <v>699</v>
      </c>
      <c r="B1" s="1" t="s">
        <v>657</v>
      </c>
      <c r="C1" s="1" t="s">
        <v>700</v>
      </c>
      <c r="D1" s="1" t="s">
        <v>701</v>
      </c>
      <c r="E1" s="1" t="s">
        <v>702</v>
      </c>
      <c r="F1" s="1" t="s">
        <v>701</v>
      </c>
      <c r="G1" s="1" t="s">
        <v>703</v>
      </c>
    </row>
    <row r="2" spans="1:7" x14ac:dyDescent="0.2">
      <c r="A2" s="2" t="s">
        <v>704</v>
      </c>
      <c r="B2" s="2">
        <v>78</v>
      </c>
      <c r="C2" s="3">
        <v>56968706</v>
      </c>
      <c r="D2" s="19">
        <f>C2/1938734330.5539</f>
        <v>2.9384483011513977E-2</v>
      </c>
      <c r="E2" s="3">
        <v>81837000</v>
      </c>
      <c r="F2" s="19">
        <f>E2/1938734330.5539</f>
        <v>4.2211559732693762E-2</v>
      </c>
      <c r="G2" s="6" t="s">
        <v>705</v>
      </c>
    </row>
    <row r="3" spans="1:7" ht="28" x14ac:dyDescent="0.2">
      <c r="A3" s="17" t="s">
        <v>706</v>
      </c>
      <c r="B3" s="17">
        <v>79</v>
      </c>
      <c r="C3" s="18">
        <v>57396751</v>
      </c>
      <c r="D3" s="20">
        <f>C3/1938734330.5539</f>
        <v>2.9605268806274062E-2</v>
      </c>
      <c r="E3" s="18">
        <v>82563750</v>
      </c>
      <c r="F3" s="20">
        <f>E3/1938734330.5539</f>
        <v>4.2586417694688156E-2</v>
      </c>
      <c r="G3" s="21" t="s">
        <v>707</v>
      </c>
    </row>
    <row r="4" spans="1:7" ht="28" x14ac:dyDescent="0.2">
      <c r="A4" s="2" t="s">
        <v>708</v>
      </c>
      <c r="B4" s="2">
        <v>93</v>
      </c>
      <c r="C4" s="3">
        <v>69762831</v>
      </c>
      <c r="D4" s="19">
        <f>C4/1938734330.5539</f>
        <v>3.5983698179042733E-2</v>
      </c>
      <c r="E4" s="3">
        <v>97246738</v>
      </c>
      <c r="F4" s="19">
        <f>E4/1938734330.5539</f>
        <v>5.0159909208507401E-2</v>
      </c>
      <c r="G4" s="6" t="s">
        <v>709</v>
      </c>
    </row>
    <row r="5" spans="1:7" ht="28" x14ac:dyDescent="0.2">
      <c r="A5" s="8" t="s">
        <v>710</v>
      </c>
      <c r="B5" s="8">
        <v>110</v>
      </c>
      <c r="C5" s="9">
        <v>92410911</v>
      </c>
      <c r="D5" s="22">
        <f>C5/1938734330.5539</f>
        <v>4.7665587565882753E-2</v>
      </c>
      <c r="E5" s="9">
        <v>127493766</v>
      </c>
      <c r="F5" s="22">
        <f>E5/1938734330.5539</f>
        <v>6.5761339235982263E-2</v>
      </c>
      <c r="G5" s="10" t="s">
        <v>711</v>
      </c>
    </row>
    <row r="8" spans="1:7" ht="20" customHeight="1" x14ac:dyDescent="0.2">
      <c r="A8" s="23" t="s">
        <v>712</v>
      </c>
      <c r="B8" s="24"/>
      <c r="C8" s="24"/>
      <c r="D8" s="24"/>
      <c r="E8" s="24"/>
      <c r="F8" s="24"/>
      <c r="G8" s="24"/>
    </row>
    <row r="9" spans="1:7" ht="30" customHeight="1" x14ac:dyDescent="0.2">
      <c r="A9" s="25" t="s">
        <v>713</v>
      </c>
      <c r="B9" s="24"/>
      <c r="C9" s="24"/>
      <c r="D9" s="24"/>
      <c r="E9" s="24"/>
      <c r="F9" s="24"/>
      <c r="G9" s="24"/>
    </row>
    <row r="10" spans="1:7" ht="30" customHeight="1" x14ac:dyDescent="0.2">
      <c r="A10" s="25" t="s">
        <v>714</v>
      </c>
      <c r="B10" s="24"/>
      <c r="C10" s="24"/>
      <c r="D10" s="24"/>
      <c r="E10" s="24"/>
      <c r="F10" s="24"/>
      <c r="G10" s="24"/>
    </row>
    <row r="11" spans="1:7" ht="30" customHeight="1" x14ac:dyDescent="0.2">
      <c r="A11" s="25" t="s">
        <v>715</v>
      </c>
      <c r="B11" s="24"/>
      <c r="C11" s="24"/>
      <c r="D11" s="24"/>
      <c r="E11" s="24"/>
      <c r="F11" s="24"/>
      <c r="G11" s="24"/>
    </row>
    <row r="12" spans="1:7" ht="30" customHeight="1" x14ac:dyDescent="0.2">
      <c r="A12" s="25" t="s">
        <v>716</v>
      </c>
      <c r="B12" s="24"/>
      <c r="C12" s="24"/>
      <c r="D12" s="24"/>
      <c r="E12" s="24"/>
      <c r="F12" s="24"/>
      <c r="G12" s="24"/>
    </row>
  </sheetData>
  <mergeCells count="5">
    <mergeCell ref="A9:G9"/>
    <mergeCell ref="A8:G8"/>
    <mergeCell ref="A12:G12"/>
    <mergeCell ref="A11:G11"/>
    <mergeCell ref="A10:G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1. Yeu cau tra hang</vt:lpstr>
      <vt:lpstr>2. San pham hoan</vt:lpstr>
      <vt:lpstr>3. Tong hop theo thang</vt:lpstr>
      <vt:lpstr>4. Doi chieu doanh thu</vt:lpstr>
      <vt:lpstr>5. Don co nhieu YC</vt:lpstr>
      <vt:lpstr>6. Ba phuong an tru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Hau Le</cp:lastModifiedBy>
  <dcterms:created xsi:type="dcterms:W3CDTF">2026-09-02T06:37:12Z</dcterms:created>
  <dcterms:modified xsi:type="dcterms:W3CDTF">2026-09-02T06:42:44Z</dcterms:modified>
</cp:coreProperties>
</file>