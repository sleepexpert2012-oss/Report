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louisle/Downloads/"/>
    </mc:Choice>
  </mc:AlternateContent>
  <xr:revisionPtr revIDLastSave="0" documentId="13_ncr:1_{A66310C4-86F1-D840-BBFF-0EB8AA18C1F0}" xr6:coauthVersionLast="47" xr6:coauthVersionMax="47" xr10:uidLastSave="{00000000-0000-0000-0000-000000000000}"/>
  <bookViews>
    <workbookView xWindow="20" yWindow="780" windowWidth="34200" windowHeight="20380" tabRatio="825" activeTab="1" xr2:uid="{737E9ED0-E2A8-4CBC-9495-FB59B8C806A6}"/>
  </bookViews>
  <sheets>
    <sheet name="0. Mã Supplier" sheetId="12" r:id="rId1"/>
    <sheet name="1. Master Data" sheetId="15" r:id="rId2"/>
    <sheet name="4. Purchasing" sheetId="3" r:id="rId3"/>
    <sheet name="Mã Kho" sheetId="24" r:id="rId4"/>
  </sheets>
  <definedNames>
    <definedName name="_xlnm._FilterDatabase" localSheetId="1" hidden="1">'1. Master Data'!$B$7:$AF$158</definedName>
    <definedName name="_xlnm._FilterDatabase" localSheetId="2" hidden="1">'4. Purchasing'!$A$1:$AD$183</definedName>
    <definedName name="_xlnm._FilterDatabase" localSheetId="3" hidden="1">'Mã Kho'!$A$1:$D$1</definedName>
    <definedName name="_xlnm.Print_Area" localSheetId="2">'4. Purchasing'!$AG$1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9" i="15" l="1"/>
  <c r="AC10" i="15"/>
  <c r="AC11" i="15"/>
  <c r="AC12" i="15"/>
  <c r="AC13" i="15"/>
  <c r="AC14" i="15"/>
  <c r="AC15" i="15"/>
  <c r="AC16" i="15"/>
  <c r="AC17" i="15"/>
  <c r="AC18" i="15"/>
  <c r="AC19" i="15"/>
  <c r="AC20" i="15"/>
  <c r="AC21" i="15"/>
  <c r="AC22" i="15"/>
  <c r="AC23" i="15"/>
  <c r="AC24" i="15"/>
  <c r="AC25" i="15"/>
  <c r="AC26" i="15"/>
  <c r="AC27" i="15"/>
  <c r="AC28" i="15"/>
  <c r="AC29" i="15"/>
  <c r="AC30" i="15"/>
  <c r="AC31" i="15"/>
  <c r="AC32" i="15"/>
  <c r="AC33" i="15"/>
  <c r="AC34" i="15"/>
  <c r="AC35" i="15"/>
  <c r="AC36" i="15"/>
  <c r="AC37" i="15"/>
  <c r="AC38" i="15"/>
  <c r="AC39" i="15"/>
  <c r="AC40" i="15"/>
  <c r="AC41" i="15"/>
  <c r="AC42" i="15"/>
  <c r="AC43" i="15"/>
  <c r="AC44" i="15"/>
  <c r="AC45" i="15"/>
  <c r="AC46" i="15"/>
  <c r="AC47" i="15"/>
  <c r="AC48" i="15"/>
  <c r="AC49" i="15"/>
  <c r="AC50" i="15"/>
  <c r="AC51" i="15"/>
  <c r="AC52" i="15"/>
  <c r="AC53" i="15"/>
  <c r="AC54" i="15"/>
  <c r="AC55" i="15"/>
  <c r="AC56" i="15"/>
  <c r="AC57" i="15"/>
  <c r="AC58" i="15"/>
  <c r="AC59" i="15"/>
  <c r="AC60" i="15"/>
  <c r="AC61" i="15"/>
  <c r="AC62" i="15"/>
  <c r="AC63" i="15"/>
  <c r="AC64" i="15"/>
  <c r="AC65" i="15"/>
  <c r="AC66" i="15"/>
  <c r="AC67" i="15"/>
  <c r="AC68" i="15"/>
  <c r="AC69" i="15"/>
  <c r="AC70" i="15"/>
  <c r="AC71" i="15"/>
  <c r="AC72" i="15"/>
  <c r="AC73" i="15"/>
  <c r="AC74" i="15"/>
  <c r="AC75" i="15"/>
  <c r="AC76" i="15"/>
  <c r="AC77" i="15"/>
  <c r="AC78" i="15"/>
  <c r="AC79" i="15"/>
  <c r="AC80" i="15"/>
  <c r="AC81" i="15"/>
  <c r="AC82" i="15"/>
  <c r="AC83" i="15"/>
  <c r="AC84" i="15"/>
  <c r="AC85" i="15"/>
  <c r="AC86" i="15"/>
  <c r="AC87" i="15"/>
  <c r="AC88" i="15"/>
  <c r="AC89" i="15"/>
  <c r="AC90" i="15"/>
  <c r="AC91" i="15"/>
  <c r="AC92" i="15"/>
  <c r="AC93" i="15"/>
  <c r="AC94" i="15"/>
  <c r="AC95" i="15"/>
  <c r="AC96" i="15"/>
  <c r="AC97" i="15"/>
  <c r="AC98" i="15"/>
  <c r="AC99" i="15"/>
  <c r="AC100" i="15"/>
  <c r="AC101" i="15"/>
  <c r="AC102" i="15"/>
  <c r="AC103" i="15"/>
  <c r="AC104" i="15"/>
  <c r="AC105" i="15"/>
  <c r="AC106" i="15"/>
  <c r="AC107" i="15"/>
  <c r="AC108" i="15"/>
  <c r="AC109" i="15"/>
  <c r="AC110" i="15"/>
  <c r="AC111" i="15"/>
  <c r="AC112" i="15"/>
  <c r="AC113" i="15"/>
  <c r="AC114" i="15"/>
  <c r="AC115" i="15"/>
  <c r="AC116" i="15"/>
  <c r="AC117" i="15"/>
  <c r="AC118" i="15"/>
  <c r="AC119" i="15"/>
  <c r="AC120" i="15"/>
  <c r="AC121" i="15"/>
  <c r="AC122" i="15"/>
  <c r="AC123" i="15"/>
  <c r="AC124" i="15"/>
  <c r="AC125" i="15"/>
  <c r="AC126" i="15"/>
  <c r="AC127" i="15"/>
  <c r="AC128" i="15"/>
  <c r="AC129" i="15"/>
  <c r="AC130" i="15"/>
  <c r="AC131" i="15"/>
  <c r="AC132" i="15"/>
  <c r="AC133" i="15"/>
  <c r="AC134" i="15"/>
  <c r="AC135" i="15"/>
  <c r="AC136" i="15"/>
  <c r="AC137" i="15"/>
  <c r="AC138" i="15"/>
  <c r="AC139" i="15"/>
  <c r="AC140" i="15"/>
  <c r="AC141" i="15"/>
  <c r="AC142" i="15"/>
  <c r="AC143" i="15"/>
  <c r="AC144" i="15"/>
  <c r="AC145" i="15"/>
  <c r="AC146" i="15"/>
  <c r="AC147" i="15"/>
  <c r="AC148" i="15"/>
  <c r="AC149" i="15"/>
  <c r="AC150" i="15"/>
  <c r="AC8" i="15"/>
  <c r="L9" i="15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30" i="15"/>
  <c r="L31" i="15"/>
  <c r="L32" i="15"/>
  <c r="L33" i="15"/>
  <c r="L34" i="15"/>
  <c r="L35" i="15"/>
  <c r="L36" i="15"/>
  <c r="L37" i="15"/>
  <c r="L38" i="15"/>
  <c r="L39" i="15"/>
  <c r="L40" i="15"/>
  <c r="L41" i="15"/>
  <c r="L42" i="15"/>
  <c r="L43" i="15"/>
  <c r="L44" i="15"/>
  <c r="L45" i="15"/>
  <c r="L46" i="15"/>
  <c r="L47" i="15"/>
  <c r="L48" i="15"/>
  <c r="L49" i="15"/>
  <c r="L50" i="15"/>
  <c r="L51" i="15"/>
  <c r="L52" i="15"/>
  <c r="L53" i="15"/>
  <c r="L54" i="15"/>
  <c r="L55" i="15"/>
  <c r="L56" i="15"/>
  <c r="L57" i="15"/>
  <c r="L58" i="15"/>
  <c r="L59" i="15"/>
  <c r="L60" i="15"/>
  <c r="L61" i="15"/>
  <c r="L62" i="15"/>
  <c r="L63" i="15"/>
  <c r="L64" i="15"/>
  <c r="L65" i="15"/>
  <c r="L66" i="15"/>
  <c r="L67" i="15"/>
  <c r="L68" i="15"/>
  <c r="L69" i="15"/>
  <c r="L70" i="15"/>
  <c r="L71" i="15"/>
  <c r="L72" i="15"/>
  <c r="L73" i="15"/>
  <c r="L74" i="15"/>
  <c r="L75" i="15"/>
  <c r="L76" i="15"/>
  <c r="L77" i="15"/>
  <c r="L78" i="15"/>
  <c r="L79" i="15"/>
  <c r="L80" i="15"/>
  <c r="L81" i="15"/>
  <c r="L82" i="15"/>
  <c r="L83" i="15"/>
  <c r="L84" i="15"/>
  <c r="L85" i="15"/>
  <c r="L86" i="15"/>
  <c r="L87" i="15"/>
  <c r="L88" i="15"/>
  <c r="L89" i="15"/>
  <c r="L90" i="15"/>
  <c r="L91" i="15"/>
  <c r="L92" i="15"/>
  <c r="L93" i="15"/>
  <c r="L94" i="15"/>
  <c r="L95" i="15"/>
  <c r="L96" i="15"/>
  <c r="L97" i="15"/>
  <c r="L98" i="15"/>
  <c r="L99" i="15"/>
  <c r="L100" i="15"/>
  <c r="L101" i="15"/>
  <c r="L102" i="15"/>
  <c r="L103" i="15"/>
  <c r="L104" i="15"/>
  <c r="L105" i="15"/>
  <c r="L106" i="15"/>
  <c r="L107" i="15"/>
  <c r="L108" i="15"/>
  <c r="L109" i="15"/>
  <c r="L110" i="15"/>
  <c r="L111" i="15"/>
  <c r="L112" i="15"/>
  <c r="L113" i="15"/>
  <c r="L114" i="15"/>
  <c r="L115" i="15"/>
  <c r="L116" i="15"/>
  <c r="L117" i="15"/>
  <c r="L118" i="15"/>
  <c r="L119" i="15"/>
  <c r="L120" i="15"/>
  <c r="L121" i="15"/>
  <c r="L122" i="15"/>
  <c r="L123" i="15"/>
  <c r="L124" i="15"/>
  <c r="L125" i="15"/>
  <c r="L126" i="15"/>
  <c r="L127" i="15"/>
  <c r="L128" i="15"/>
  <c r="L129" i="15"/>
  <c r="L130" i="15"/>
  <c r="L131" i="15"/>
  <c r="L132" i="15"/>
  <c r="L133" i="15"/>
  <c r="L134" i="15"/>
  <c r="L135" i="15"/>
  <c r="L136" i="15"/>
  <c r="L137" i="15"/>
  <c r="L138" i="15"/>
  <c r="L139" i="15"/>
  <c r="L140" i="15"/>
  <c r="L141" i="15"/>
  <c r="L142" i="15"/>
  <c r="L143" i="15"/>
  <c r="L144" i="15"/>
  <c r="L145" i="15"/>
  <c r="L146" i="15"/>
  <c r="L147" i="15"/>
  <c r="L148" i="15"/>
  <c r="L149" i="15"/>
  <c r="L150" i="15"/>
  <c r="L8" i="15"/>
  <c r="AD91" i="3"/>
  <c r="AD97" i="3"/>
  <c r="T154" i="3"/>
  <c r="U154" i="3"/>
  <c r="AB154" i="3"/>
  <c r="T155" i="3"/>
  <c r="U155" i="3"/>
  <c r="AB155" i="3"/>
  <c r="T156" i="3"/>
  <c r="U156" i="3"/>
  <c r="V156" i="3"/>
  <c r="AB156" i="3"/>
  <c r="O155" i="3"/>
  <c r="P155" i="3"/>
  <c r="Q155" i="3"/>
  <c r="O156" i="3"/>
  <c r="P156" i="3"/>
  <c r="Q156" i="3"/>
  <c r="O154" i="3"/>
  <c r="P154" i="3"/>
  <c r="Q154" i="3"/>
  <c r="D154" i="3"/>
  <c r="D155" i="3"/>
  <c r="D156" i="3"/>
  <c r="V155" i="3"/>
  <c r="V154" i="3"/>
  <c r="AA155" i="3"/>
  <c r="AA156" i="3"/>
  <c r="W156" i="3"/>
  <c r="X156" i="3"/>
  <c r="Y156" i="3"/>
  <c r="AA154" i="3"/>
  <c r="W154" i="3"/>
  <c r="X155" i="3"/>
  <c r="W155" i="3"/>
  <c r="Y155" i="3"/>
  <c r="X154" i="3"/>
  <c r="Y154" i="3"/>
  <c r="U9" i="15"/>
  <c r="U10" i="15"/>
  <c r="U11" i="15"/>
  <c r="U12" i="15"/>
  <c r="U13" i="15"/>
  <c r="U14" i="15"/>
  <c r="U15" i="15"/>
  <c r="U16" i="15"/>
  <c r="U17" i="15"/>
  <c r="U18" i="15"/>
  <c r="U19" i="15"/>
  <c r="U20" i="15"/>
  <c r="U21" i="15"/>
  <c r="U22" i="15"/>
  <c r="U23" i="15"/>
  <c r="U24" i="15"/>
  <c r="U25" i="15"/>
  <c r="U26" i="15"/>
  <c r="U27" i="15"/>
  <c r="AF27" i="15"/>
  <c r="U28" i="15"/>
  <c r="U29" i="15"/>
  <c r="U30" i="15"/>
  <c r="U31" i="15"/>
  <c r="U8" i="15"/>
  <c r="AF17" i="15"/>
  <c r="AF26" i="15"/>
  <c r="B13" i="15"/>
  <c r="AF11" i="15"/>
  <c r="AF18" i="15"/>
  <c r="AF28" i="15"/>
  <c r="AF9" i="15"/>
  <c r="AF8" i="15"/>
  <c r="AF25" i="15"/>
  <c r="AF21" i="15"/>
  <c r="AF19" i="15"/>
  <c r="AF12" i="15"/>
  <c r="AF22" i="15"/>
  <c r="AF20" i="15"/>
  <c r="AF30" i="15"/>
  <c r="AF29" i="15"/>
  <c r="AF14" i="15"/>
  <c r="AF13" i="15"/>
  <c r="AF10" i="15"/>
  <c r="AF24" i="15"/>
  <c r="AF16" i="15"/>
  <c r="AF31" i="15"/>
  <c r="AF23" i="15"/>
  <c r="AF15" i="15"/>
  <c r="B90" i="15"/>
  <c r="C90" i="15"/>
  <c r="J90" i="15"/>
  <c r="K90" i="15"/>
  <c r="B91" i="15"/>
  <c r="C91" i="15"/>
  <c r="J91" i="15"/>
  <c r="K91" i="15"/>
  <c r="B89" i="15"/>
  <c r="C89" i="15"/>
  <c r="J89" i="15"/>
  <c r="K89" i="15"/>
  <c r="B87" i="15"/>
  <c r="C87" i="15"/>
  <c r="J87" i="15"/>
  <c r="K87" i="15"/>
  <c r="J88" i="15"/>
  <c r="K88" i="15"/>
  <c r="C88" i="15"/>
  <c r="B88" i="15"/>
  <c r="J86" i="15"/>
  <c r="K86" i="15"/>
  <c r="C86" i="15"/>
  <c r="B86" i="15"/>
  <c r="B8" i="15"/>
  <c r="B9" i="15"/>
  <c r="B10" i="15"/>
  <c r="B11" i="15"/>
  <c r="B12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26" i="15"/>
  <c r="B27" i="15"/>
  <c r="B28" i="15"/>
  <c r="B29" i="15"/>
  <c r="B30" i="15"/>
  <c r="B31" i="15"/>
  <c r="B32" i="15"/>
  <c r="B33" i="15"/>
  <c r="B34" i="15"/>
  <c r="B35" i="15"/>
  <c r="B36" i="15"/>
  <c r="B37" i="15"/>
  <c r="B38" i="15"/>
  <c r="B39" i="15"/>
  <c r="B40" i="15"/>
  <c r="B41" i="15"/>
  <c r="B42" i="15"/>
  <c r="B43" i="15"/>
  <c r="B44" i="15"/>
  <c r="B45" i="15"/>
  <c r="B46" i="15"/>
  <c r="B47" i="15"/>
  <c r="B48" i="15"/>
  <c r="B49" i="15"/>
  <c r="B50" i="15"/>
  <c r="B51" i="15"/>
  <c r="B52" i="15"/>
  <c r="B53" i="15"/>
  <c r="B54" i="15"/>
  <c r="B55" i="15"/>
  <c r="B56" i="15"/>
  <c r="B57" i="15"/>
  <c r="B58" i="15"/>
  <c r="B59" i="15"/>
  <c r="B60" i="15"/>
  <c r="B61" i="15"/>
  <c r="B62" i="15"/>
  <c r="B63" i="15"/>
  <c r="B64" i="15"/>
  <c r="B65" i="15"/>
  <c r="B66" i="15"/>
  <c r="B67" i="15"/>
  <c r="B68" i="15"/>
  <c r="B69" i="15"/>
  <c r="B70" i="15"/>
  <c r="B71" i="15"/>
  <c r="B72" i="15"/>
  <c r="B73" i="15"/>
  <c r="B74" i="15"/>
  <c r="B75" i="15"/>
  <c r="B76" i="15"/>
  <c r="B77" i="15"/>
  <c r="B78" i="15"/>
  <c r="B79" i="15"/>
  <c r="B80" i="15"/>
  <c r="B81" i="15"/>
  <c r="B82" i="15"/>
  <c r="B83" i="15"/>
  <c r="B84" i="15"/>
  <c r="B85" i="15"/>
  <c r="B92" i="15"/>
  <c r="B93" i="15"/>
  <c r="B94" i="15"/>
  <c r="B95" i="15"/>
  <c r="B96" i="15"/>
  <c r="B97" i="15"/>
  <c r="B98" i="15"/>
  <c r="B99" i="15"/>
  <c r="B100" i="15"/>
  <c r="B101" i="15"/>
  <c r="B102" i="15"/>
  <c r="B103" i="15"/>
  <c r="B104" i="15"/>
  <c r="B105" i="15"/>
  <c r="B106" i="15"/>
  <c r="B107" i="15"/>
  <c r="B108" i="15"/>
  <c r="B109" i="15"/>
  <c r="B110" i="15"/>
  <c r="B111" i="15"/>
  <c r="B112" i="15"/>
  <c r="B113" i="15"/>
  <c r="B114" i="15"/>
  <c r="B115" i="15"/>
  <c r="B116" i="15"/>
  <c r="B117" i="15"/>
  <c r="B118" i="15"/>
  <c r="B119" i="15"/>
  <c r="B120" i="15"/>
  <c r="B121" i="15"/>
  <c r="B122" i="15"/>
  <c r="B123" i="15"/>
  <c r="B124" i="15"/>
  <c r="B125" i="15"/>
  <c r="B126" i="15"/>
  <c r="B127" i="15"/>
  <c r="B128" i="15"/>
  <c r="B129" i="15"/>
  <c r="B130" i="15"/>
  <c r="B131" i="15"/>
  <c r="B132" i="15"/>
  <c r="B133" i="15"/>
  <c r="B134" i="15"/>
  <c r="B135" i="15"/>
  <c r="B136" i="15"/>
  <c r="B137" i="15"/>
  <c r="B138" i="15"/>
  <c r="B139" i="15"/>
  <c r="B140" i="15"/>
  <c r="B141" i="15"/>
  <c r="B142" i="15"/>
  <c r="B143" i="15"/>
  <c r="B144" i="15"/>
  <c r="B145" i="15"/>
  <c r="B146" i="15"/>
  <c r="B147" i="15"/>
  <c r="B148" i="15"/>
  <c r="B149" i="15"/>
  <c r="B150" i="15"/>
  <c r="B151" i="15"/>
  <c r="B152" i="15"/>
  <c r="B153" i="15"/>
  <c r="B154" i="15"/>
  <c r="B155" i="15"/>
  <c r="B156" i="15"/>
  <c r="B157" i="15"/>
  <c r="B158" i="15"/>
  <c r="AD149" i="15"/>
  <c r="AD136" i="15"/>
  <c r="AD145" i="15"/>
  <c r="AD131" i="15"/>
  <c r="AD117" i="15"/>
  <c r="AD109" i="15"/>
  <c r="AD102" i="15"/>
  <c r="AD97" i="15"/>
  <c r="AD93" i="15"/>
  <c r="AD83" i="15"/>
  <c r="AD81" i="15"/>
  <c r="AB140" i="3"/>
  <c r="U147" i="3"/>
  <c r="T147" i="3"/>
  <c r="Q147" i="3"/>
  <c r="P147" i="3"/>
  <c r="O147" i="3"/>
  <c r="D147" i="3"/>
  <c r="U146" i="3"/>
  <c r="T146" i="3"/>
  <c r="Q146" i="3"/>
  <c r="P146" i="3"/>
  <c r="O146" i="3"/>
  <c r="D146" i="3"/>
  <c r="U145" i="3"/>
  <c r="T145" i="3"/>
  <c r="Q145" i="3"/>
  <c r="P145" i="3"/>
  <c r="O145" i="3"/>
  <c r="D145" i="3"/>
  <c r="U144" i="3"/>
  <c r="T144" i="3"/>
  <c r="Q144" i="3"/>
  <c r="P144" i="3"/>
  <c r="O144" i="3"/>
  <c r="D144" i="3"/>
  <c r="V144" i="3"/>
  <c r="AA144" i="3"/>
  <c r="V145" i="3"/>
  <c r="Y145" i="3"/>
  <c r="V147" i="3"/>
  <c r="AA147" i="3"/>
  <c r="V146" i="3"/>
  <c r="W146" i="3"/>
  <c r="X144" i="3"/>
  <c r="Y144" i="3"/>
  <c r="X145" i="3"/>
  <c r="Y146" i="3"/>
  <c r="AA146" i="3"/>
  <c r="Y147" i="3"/>
  <c r="X147" i="3"/>
  <c r="W145" i="3"/>
  <c r="W147" i="3"/>
  <c r="AA145" i="3"/>
  <c r="X146" i="3"/>
  <c r="W144" i="3"/>
  <c r="D171" i="3"/>
  <c r="D172" i="3"/>
  <c r="D173" i="3"/>
  <c r="D174" i="3"/>
  <c r="D175" i="3"/>
  <c r="D176" i="3"/>
  <c r="D177" i="3"/>
  <c r="D178" i="3"/>
  <c r="D179" i="3"/>
  <c r="D180" i="3"/>
  <c r="D181" i="3"/>
  <c r="C36" i="15"/>
  <c r="T183" i="3"/>
  <c r="P183" i="3"/>
  <c r="Q182" i="3"/>
  <c r="P182" i="3"/>
  <c r="Q183" i="3"/>
  <c r="T182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8" i="3"/>
  <c r="D149" i="3"/>
  <c r="D150" i="3"/>
  <c r="D151" i="3"/>
  <c r="D152" i="3"/>
  <c r="D153" i="3"/>
  <c r="D157" i="3"/>
  <c r="D158" i="3"/>
  <c r="D159" i="3"/>
  <c r="D170" i="3"/>
  <c r="D169" i="3"/>
  <c r="D168" i="3"/>
  <c r="D167" i="3"/>
  <c r="D166" i="3"/>
  <c r="D165" i="3"/>
  <c r="D164" i="3"/>
  <c r="D163" i="3"/>
  <c r="D162" i="3"/>
  <c r="D161" i="3"/>
  <c r="D160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O117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7" i="3"/>
  <c r="O178" i="3"/>
  <c r="O179" i="3"/>
  <c r="O180" i="3"/>
  <c r="O181" i="3"/>
  <c r="O2" i="3"/>
  <c r="T131" i="3"/>
  <c r="T132" i="3"/>
  <c r="T133" i="3"/>
  <c r="T134" i="3"/>
  <c r="T135" i="3"/>
  <c r="T136" i="3"/>
  <c r="T137" i="3"/>
  <c r="T138" i="3"/>
  <c r="T139" i="3"/>
  <c r="T130" i="3"/>
  <c r="T178" i="3"/>
  <c r="T179" i="3"/>
  <c r="T180" i="3"/>
  <c r="T181" i="3"/>
  <c r="T177" i="3"/>
  <c r="U3" i="3"/>
  <c r="V3" i="3"/>
  <c r="U4" i="3"/>
  <c r="U5" i="3"/>
  <c r="U6" i="3"/>
  <c r="U7" i="3"/>
  <c r="U8" i="3"/>
  <c r="U9" i="3"/>
  <c r="U10" i="3"/>
  <c r="U11" i="3"/>
  <c r="V11" i="3"/>
  <c r="W11" i="3"/>
  <c r="U12" i="3"/>
  <c r="U13" i="3"/>
  <c r="U14" i="3"/>
  <c r="U15" i="3"/>
  <c r="U16" i="3"/>
  <c r="V16" i="3"/>
  <c r="W16" i="3"/>
  <c r="U17" i="3"/>
  <c r="V17" i="3"/>
  <c r="W17" i="3"/>
  <c r="U18" i="3"/>
  <c r="U19" i="3"/>
  <c r="V19" i="3"/>
  <c r="U20" i="3"/>
  <c r="V20" i="3"/>
  <c r="U21" i="3"/>
  <c r="V21" i="3"/>
  <c r="U22" i="3"/>
  <c r="V22" i="3"/>
  <c r="U23" i="3"/>
  <c r="V23" i="3"/>
  <c r="U24" i="3"/>
  <c r="V24" i="3"/>
  <c r="W24" i="3"/>
  <c r="U25" i="3"/>
  <c r="V25" i="3"/>
  <c r="W25" i="3"/>
  <c r="U26" i="3"/>
  <c r="V26" i="3"/>
  <c r="U27" i="3"/>
  <c r="V27" i="3"/>
  <c r="U28" i="3"/>
  <c r="V28" i="3"/>
  <c r="U29" i="3"/>
  <c r="V29" i="3"/>
  <c r="U30" i="3"/>
  <c r="V30" i="3"/>
  <c r="U31" i="3"/>
  <c r="V31" i="3"/>
  <c r="U32" i="3"/>
  <c r="V32" i="3"/>
  <c r="U33" i="3"/>
  <c r="V33" i="3"/>
  <c r="U34" i="3"/>
  <c r="V34" i="3"/>
  <c r="U35" i="3"/>
  <c r="V35" i="3"/>
  <c r="U36" i="3"/>
  <c r="V36" i="3"/>
  <c r="U37" i="3"/>
  <c r="V37" i="3"/>
  <c r="U38" i="3"/>
  <c r="V38" i="3"/>
  <c r="U39" i="3"/>
  <c r="V39" i="3"/>
  <c r="U40" i="3"/>
  <c r="V40" i="3"/>
  <c r="U41" i="3"/>
  <c r="V41" i="3"/>
  <c r="U42" i="3"/>
  <c r="V42" i="3"/>
  <c r="U43" i="3"/>
  <c r="U44" i="3"/>
  <c r="U45" i="3"/>
  <c r="U46" i="3"/>
  <c r="U47" i="3"/>
  <c r="U48" i="3"/>
  <c r="U49" i="3"/>
  <c r="U50" i="3"/>
  <c r="V50" i="3"/>
  <c r="U51" i="3"/>
  <c r="U52" i="3"/>
  <c r="U53" i="3"/>
  <c r="U54" i="3"/>
  <c r="U55" i="3"/>
  <c r="U56" i="3"/>
  <c r="U57" i="3"/>
  <c r="U58" i="3"/>
  <c r="V58" i="3"/>
  <c r="U59" i="3"/>
  <c r="U60" i="3"/>
  <c r="U61" i="3"/>
  <c r="V61" i="3"/>
  <c r="U62" i="3"/>
  <c r="V62" i="3"/>
  <c r="U63" i="3"/>
  <c r="V63" i="3"/>
  <c r="U64" i="3"/>
  <c r="V64" i="3"/>
  <c r="U65" i="3"/>
  <c r="V65" i="3"/>
  <c r="U66" i="3"/>
  <c r="V66" i="3"/>
  <c r="U67" i="3"/>
  <c r="V67" i="3"/>
  <c r="U68" i="3"/>
  <c r="V68" i="3"/>
  <c r="U69" i="3"/>
  <c r="V69" i="3"/>
  <c r="U70" i="3"/>
  <c r="V70" i="3"/>
  <c r="U71" i="3"/>
  <c r="V71" i="3"/>
  <c r="U72" i="3"/>
  <c r="V72" i="3"/>
  <c r="U73" i="3"/>
  <c r="V73" i="3"/>
  <c r="U74" i="3"/>
  <c r="V74" i="3"/>
  <c r="U75" i="3"/>
  <c r="V75" i="3"/>
  <c r="U76" i="3"/>
  <c r="V76" i="3"/>
  <c r="U77" i="3"/>
  <c r="V77" i="3"/>
  <c r="U78" i="3"/>
  <c r="V78" i="3"/>
  <c r="U79" i="3"/>
  <c r="V79" i="3"/>
  <c r="U80" i="3"/>
  <c r="V80" i="3"/>
  <c r="U81" i="3"/>
  <c r="V81" i="3"/>
  <c r="U82" i="3"/>
  <c r="V82" i="3"/>
  <c r="U83" i="3"/>
  <c r="V83" i="3"/>
  <c r="U84" i="3"/>
  <c r="V84" i="3"/>
  <c r="U85" i="3"/>
  <c r="V85" i="3"/>
  <c r="U86" i="3"/>
  <c r="V86" i="3"/>
  <c r="U87" i="3"/>
  <c r="V87" i="3"/>
  <c r="U88" i="3"/>
  <c r="V88" i="3"/>
  <c r="U89" i="3"/>
  <c r="V89" i="3"/>
  <c r="U90" i="3"/>
  <c r="V90" i="3"/>
  <c r="U91" i="3"/>
  <c r="V91" i="3"/>
  <c r="U92" i="3"/>
  <c r="V92" i="3"/>
  <c r="U93" i="3"/>
  <c r="V93" i="3"/>
  <c r="U94" i="3"/>
  <c r="V94" i="3"/>
  <c r="U95" i="3"/>
  <c r="V95" i="3"/>
  <c r="U96" i="3"/>
  <c r="V96" i="3"/>
  <c r="U97" i="3"/>
  <c r="V97" i="3"/>
  <c r="U98" i="3"/>
  <c r="V98" i="3"/>
  <c r="U99" i="3"/>
  <c r="V99" i="3"/>
  <c r="U100" i="3"/>
  <c r="V100" i="3"/>
  <c r="U101" i="3"/>
  <c r="V101" i="3"/>
  <c r="U102" i="3"/>
  <c r="V102" i="3"/>
  <c r="U103" i="3"/>
  <c r="V103" i="3"/>
  <c r="U104" i="3"/>
  <c r="V104" i="3"/>
  <c r="U105" i="3"/>
  <c r="V105" i="3"/>
  <c r="U106" i="3"/>
  <c r="V106" i="3"/>
  <c r="U107" i="3"/>
  <c r="V107" i="3"/>
  <c r="U108" i="3"/>
  <c r="V108" i="3"/>
  <c r="U109" i="3"/>
  <c r="V109" i="3"/>
  <c r="U110" i="3"/>
  <c r="V110" i="3"/>
  <c r="U111" i="3"/>
  <c r="V111" i="3"/>
  <c r="U112" i="3"/>
  <c r="V112" i="3"/>
  <c r="U113" i="3"/>
  <c r="V113" i="3"/>
  <c r="U114" i="3"/>
  <c r="V114" i="3"/>
  <c r="U115" i="3"/>
  <c r="V115" i="3"/>
  <c r="U116" i="3"/>
  <c r="V116" i="3"/>
  <c r="U117" i="3"/>
  <c r="V117" i="3"/>
  <c r="U118" i="3"/>
  <c r="V118" i="3"/>
  <c r="U119" i="3"/>
  <c r="V119" i="3"/>
  <c r="U120" i="3"/>
  <c r="V120" i="3"/>
  <c r="U121" i="3"/>
  <c r="V121" i="3"/>
  <c r="U122" i="3"/>
  <c r="V122" i="3"/>
  <c r="U123" i="3"/>
  <c r="V123" i="3"/>
  <c r="U124" i="3"/>
  <c r="V124" i="3"/>
  <c r="U125" i="3"/>
  <c r="V125" i="3"/>
  <c r="U126" i="3"/>
  <c r="V126" i="3"/>
  <c r="U127" i="3"/>
  <c r="V127" i="3"/>
  <c r="U128" i="3"/>
  <c r="V128" i="3"/>
  <c r="U129" i="3"/>
  <c r="V129" i="3"/>
  <c r="U130" i="3"/>
  <c r="U131" i="3"/>
  <c r="V131" i="3"/>
  <c r="U132" i="3"/>
  <c r="U133" i="3"/>
  <c r="V133" i="3"/>
  <c r="U134" i="3"/>
  <c r="V134" i="3"/>
  <c r="U135" i="3"/>
  <c r="U136" i="3"/>
  <c r="U137" i="3"/>
  <c r="U138" i="3"/>
  <c r="U139" i="3"/>
  <c r="U140" i="3"/>
  <c r="V140" i="3"/>
  <c r="U141" i="3"/>
  <c r="V141" i="3"/>
  <c r="U142" i="3"/>
  <c r="V142" i="3"/>
  <c r="U143" i="3"/>
  <c r="V143" i="3"/>
  <c r="U148" i="3"/>
  <c r="U149" i="3"/>
  <c r="U150" i="3"/>
  <c r="U151" i="3"/>
  <c r="U152" i="3"/>
  <c r="U153" i="3"/>
  <c r="U157" i="3"/>
  <c r="V157" i="3"/>
  <c r="W157" i="3"/>
  <c r="U158" i="3"/>
  <c r="V158" i="3"/>
  <c r="U159" i="3"/>
  <c r="V159" i="3"/>
  <c r="U160" i="3"/>
  <c r="V160" i="3"/>
  <c r="U161" i="3"/>
  <c r="V161" i="3"/>
  <c r="U162" i="3"/>
  <c r="V162" i="3"/>
  <c r="U163" i="3"/>
  <c r="V163" i="3"/>
  <c r="U164" i="3"/>
  <c r="V164" i="3"/>
  <c r="U165" i="3"/>
  <c r="V165" i="3"/>
  <c r="U166" i="3"/>
  <c r="V166" i="3"/>
  <c r="U167" i="3"/>
  <c r="V167" i="3"/>
  <c r="U168" i="3"/>
  <c r="V168" i="3"/>
  <c r="U169" i="3"/>
  <c r="V169" i="3"/>
  <c r="U170" i="3"/>
  <c r="V170" i="3"/>
  <c r="U171" i="3"/>
  <c r="V171" i="3"/>
  <c r="U177" i="3"/>
  <c r="U178" i="3"/>
  <c r="U179" i="3"/>
  <c r="U180" i="3"/>
  <c r="U181" i="3"/>
  <c r="U172" i="3"/>
  <c r="U173" i="3"/>
  <c r="U174" i="3"/>
  <c r="U175" i="3"/>
  <c r="U176" i="3"/>
  <c r="U182" i="3"/>
  <c r="U183" i="3"/>
  <c r="V8" i="3"/>
  <c r="W8" i="3"/>
  <c r="V9" i="3"/>
  <c r="U2" i="3"/>
  <c r="V2" i="3"/>
  <c r="W2" i="3"/>
  <c r="V4" i="3"/>
  <c r="V5" i="3"/>
  <c r="V6" i="3"/>
  <c r="V7" i="3"/>
  <c r="V10" i="3"/>
  <c r="V12" i="3"/>
  <c r="V13" i="3"/>
  <c r="V14" i="3"/>
  <c r="V15" i="3"/>
  <c r="V18" i="3"/>
  <c r="V43" i="3"/>
  <c r="V44" i="3"/>
  <c r="V45" i="3"/>
  <c r="V46" i="3"/>
  <c r="V47" i="3"/>
  <c r="V48" i="3"/>
  <c r="V49" i="3"/>
  <c r="V51" i="3"/>
  <c r="V52" i="3"/>
  <c r="V53" i="3"/>
  <c r="V54" i="3"/>
  <c r="V55" i="3"/>
  <c r="V56" i="3"/>
  <c r="V57" i="3"/>
  <c r="V59" i="3"/>
  <c r="V60" i="3"/>
  <c r="V135" i="3"/>
  <c r="V180" i="3"/>
  <c r="Y180" i="3"/>
  <c r="V179" i="3"/>
  <c r="Y179" i="3"/>
  <c r="V178" i="3"/>
  <c r="Y178" i="3"/>
  <c r="V130" i="3"/>
  <c r="W130" i="3"/>
  <c r="V181" i="3"/>
  <c r="W181" i="3"/>
  <c r="Y91" i="3"/>
  <c r="W91" i="3"/>
  <c r="Y19" i="3"/>
  <c r="W19" i="3"/>
  <c r="Y3" i="3"/>
  <c r="W3" i="3"/>
  <c r="Y169" i="3"/>
  <c r="W169" i="3"/>
  <c r="Y161" i="3"/>
  <c r="W161" i="3"/>
  <c r="Y130" i="3"/>
  <c r="Y122" i="3"/>
  <c r="W122" i="3"/>
  <c r="Y114" i="3"/>
  <c r="W114" i="3"/>
  <c r="Y106" i="3"/>
  <c r="W106" i="3"/>
  <c r="Y98" i="3"/>
  <c r="W98" i="3"/>
  <c r="Y90" i="3"/>
  <c r="W90" i="3"/>
  <c r="Y82" i="3"/>
  <c r="W82" i="3"/>
  <c r="Y74" i="3"/>
  <c r="W74" i="3"/>
  <c r="Y66" i="3"/>
  <c r="W66" i="3"/>
  <c r="Y58" i="3"/>
  <c r="W58" i="3"/>
  <c r="Y50" i="3"/>
  <c r="W50" i="3"/>
  <c r="Y42" i="3"/>
  <c r="W42" i="3"/>
  <c r="Y34" i="3"/>
  <c r="W34" i="3"/>
  <c r="Y26" i="3"/>
  <c r="W26" i="3"/>
  <c r="Y163" i="3"/>
  <c r="W163" i="3"/>
  <c r="Y141" i="3"/>
  <c r="W141" i="3"/>
  <c r="Y127" i="3"/>
  <c r="W127" i="3"/>
  <c r="Y118" i="3"/>
  <c r="W118" i="3"/>
  <c r="Y109" i="3"/>
  <c r="W109" i="3"/>
  <c r="Y100" i="3"/>
  <c r="W100" i="3"/>
  <c r="Y89" i="3"/>
  <c r="W89" i="3"/>
  <c r="Y80" i="3"/>
  <c r="W80" i="3"/>
  <c r="Y71" i="3"/>
  <c r="W71" i="3"/>
  <c r="Y62" i="3"/>
  <c r="W62" i="3"/>
  <c r="Y53" i="3"/>
  <c r="W53" i="3"/>
  <c r="Y44" i="3"/>
  <c r="W44" i="3"/>
  <c r="Y35" i="3"/>
  <c r="W35" i="3"/>
  <c r="Y23" i="3"/>
  <c r="W23" i="3"/>
  <c r="Y12" i="3"/>
  <c r="W12" i="3"/>
  <c r="Y162" i="3"/>
  <c r="W162" i="3"/>
  <c r="Y140" i="3"/>
  <c r="W140" i="3"/>
  <c r="Y126" i="3"/>
  <c r="W126" i="3"/>
  <c r="Y117" i="3"/>
  <c r="W117" i="3"/>
  <c r="Y108" i="3"/>
  <c r="W108" i="3"/>
  <c r="Y99" i="3"/>
  <c r="W99" i="3"/>
  <c r="Y88" i="3"/>
  <c r="W88" i="3"/>
  <c r="Y79" i="3"/>
  <c r="W79" i="3"/>
  <c r="Y70" i="3"/>
  <c r="W70" i="3"/>
  <c r="Y61" i="3"/>
  <c r="W61" i="3"/>
  <c r="Y52" i="3"/>
  <c r="W52" i="3"/>
  <c r="Y43" i="3"/>
  <c r="W43" i="3"/>
  <c r="Y33" i="3"/>
  <c r="W33" i="3"/>
  <c r="Y22" i="3"/>
  <c r="W22" i="3"/>
  <c r="Y10" i="3"/>
  <c r="W10" i="3"/>
  <c r="Y171" i="3"/>
  <c r="W171" i="3"/>
  <c r="Y160" i="3"/>
  <c r="W160" i="3"/>
  <c r="Y135" i="3"/>
  <c r="W135" i="3"/>
  <c r="Y125" i="3"/>
  <c r="W125" i="3"/>
  <c r="Y116" i="3"/>
  <c r="W116" i="3"/>
  <c r="Y107" i="3"/>
  <c r="W107" i="3"/>
  <c r="Y97" i="3"/>
  <c r="W97" i="3"/>
  <c r="Y87" i="3"/>
  <c r="W87" i="3"/>
  <c r="Y78" i="3"/>
  <c r="W78" i="3"/>
  <c r="Y69" i="3"/>
  <c r="W69" i="3"/>
  <c r="Y60" i="3"/>
  <c r="W60" i="3"/>
  <c r="Y51" i="3"/>
  <c r="W51" i="3"/>
  <c r="Y41" i="3"/>
  <c r="W41" i="3"/>
  <c r="Y32" i="3"/>
  <c r="W32" i="3"/>
  <c r="X21" i="3"/>
  <c r="W21" i="3"/>
  <c r="X7" i="3"/>
  <c r="W7" i="3"/>
  <c r="Y170" i="3"/>
  <c r="W170" i="3"/>
  <c r="Y159" i="3"/>
  <c r="W159" i="3"/>
  <c r="Y134" i="3"/>
  <c r="W134" i="3"/>
  <c r="Y124" i="3"/>
  <c r="W124" i="3"/>
  <c r="Y115" i="3"/>
  <c r="W115" i="3"/>
  <c r="Y105" i="3"/>
  <c r="W105" i="3"/>
  <c r="Y96" i="3"/>
  <c r="W96" i="3"/>
  <c r="Y86" i="3"/>
  <c r="W86" i="3"/>
  <c r="Y77" i="3"/>
  <c r="W77" i="3"/>
  <c r="Y68" i="3"/>
  <c r="W68" i="3"/>
  <c r="Y59" i="3"/>
  <c r="W59" i="3"/>
  <c r="Y49" i="3"/>
  <c r="W49" i="3"/>
  <c r="Y40" i="3"/>
  <c r="W40" i="3"/>
  <c r="Y31" i="3"/>
  <c r="W31" i="3"/>
  <c r="Y20" i="3"/>
  <c r="W20" i="3"/>
  <c r="Y6" i="3"/>
  <c r="W6" i="3"/>
  <c r="X9" i="3"/>
  <c r="W9" i="3"/>
  <c r="Y167" i="3"/>
  <c r="W167" i="3"/>
  <c r="Y158" i="3"/>
  <c r="W158" i="3"/>
  <c r="Y133" i="3"/>
  <c r="W133" i="3"/>
  <c r="Y123" i="3"/>
  <c r="W123" i="3"/>
  <c r="Y113" i="3"/>
  <c r="W113" i="3"/>
  <c r="Y104" i="3"/>
  <c r="W104" i="3"/>
  <c r="Y95" i="3"/>
  <c r="W95" i="3"/>
  <c r="Y85" i="3"/>
  <c r="W85" i="3"/>
  <c r="Y76" i="3"/>
  <c r="W76" i="3"/>
  <c r="Y67" i="3"/>
  <c r="W67" i="3"/>
  <c r="Y57" i="3"/>
  <c r="W57" i="3"/>
  <c r="Y48" i="3"/>
  <c r="W48" i="3"/>
  <c r="Y39" i="3"/>
  <c r="W39" i="3"/>
  <c r="Y30" i="3"/>
  <c r="W30" i="3"/>
  <c r="Y18" i="3"/>
  <c r="W18" i="3"/>
  <c r="Y5" i="3"/>
  <c r="W5" i="3"/>
  <c r="Y166" i="3"/>
  <c r="W166" i="3"/>
  <c r="Y131" i="3"/>
  <c r="W131" i="3"/>
  <c r="Y121" i="3"/>
  <c r="W121" i="3"/>
  <c r="Y112" i="3"/>
  <c r="W112" i="3"/>
  <c r="Y103" i="3"/>
  <c r="W103" i="3"/>
  <c r="Y94" i="3"/>
  <c r="W94" i="3"/>
  <c r="Y84" i="3"/>
  <c r="W84" i="3"/>
  <c r="Y75" i="3"/>
  <c r="W75" i="3"/>
  <c r="Y65" i="3"/>
  <c r="W65" i="3"/>
  <c r="Y56" i="3"/>
  <c r="W56" i="3"/>
  <c r="Y47" i="3"/>
  <c r="W47" i="3"/>
  <c r="Y38" i="3"/>
  <c r="W38" i="3"/>
  <c r="Y29" i="3"/>
  <c r="W29" i="3"/>
  <c r="Y15" i="3"/>
  <c r="W15" i="3"/>
  <c r="Y4" i="3"/>
  <c r="W4" i="3"/>
  <c r="Y165" i="3"/>
  <c r="W165" i="3"/>
  <c r="Y143" i="3"/>
  <c r="W143" i="3"/>
  <c r="Y129" i="3"/>
  <c r="W129" i="3"/>
  <c r="Y120" i="3"/>
  <c r="W120" i="3"/>
  <c r="Y111" i="3"/>
  <c r="W111" i="3"/>
  <c r="Y102" i="3"/>
  <c r="W102" i="3"/>
  <c r="Y93" i="3"/>
  <c r="W93" i="3"/>
  <c r="Y83" i="3"/>
  <c r="W83" i="3"/>
  <c r="Y73" i="3"/>
  <c r="W73" i="3"/>
  <c r="Y64" i="3"/>
  <c r="W64" i="3"/>
  <c r="Y55" i="3"/>
  <c r="W55" i="3"/>
  <c r="Y46" i="3"/>
  <c r="W46" i="3"/>
  <c r="Y37" i="3"/>
  <c r="W37" i="3"/>
  <c r="Y28" i="3"/>
  <c r="W28" i="3"/>
  <c r="Y14" i="3"/>
  <c r="W14" i="3"/>
  <c r="W180" i="3"/>
  <c r="Y164" i="3"/>
  <c r="W164" i="3"/>
  <c r="Y142" i="3"/>
  <c r="W142" i="3"/>
  <c r="Y128" i="3"/>
  <c r="W128" i="3"/>
  <c r="Y119" i="3"/>
  <c r="W119" i="3"/>
  <c r="Y110" i="3"/>
  <c r="W110" i="3"/>
  <c r="Y101" i="3"/>
  <c r="W101" i="3"/>
  <c r="Y92" i="3"/>
  <c r="W92" i="3"/>
  <c r="Y81" i="3"/>
  <c r="W81" i="3"/>
  <c r="Y72" i="3"/>
  <c r="W72" i="3"/>
  <c r="Y63" i="3"/>
  <c r="W63" i="3"/>
  <c r="Y54" i="3"/>
  <c r="W54" i="3"/>
  <c r="Y45" i="3"/>
  <c r="W45" i="3"/>
  <c r="Y36" i="3"/>
  <c r="W36" i="3"/>
  <c r="Y27" i="3"/>
  <c r="W27" i="3"/>
  <c r="X13" i="3"/>
  <c r="W13" i="3"/>
  <c r="Y168" i="3"/>
  <c r="W168" i="3"/>
  <c r="V177" i="3"/>
  <c r="AA177" i="3"/>
  <c r="V182" i="3"/>
  <c r="W182" i="3"/>
  <c r="V183" i="3"/>
  <c r="W183" i="3"/>
  <c r="V139" i="3"/>
  <c r="AA139" i="3"/>
  <c r="Y7" i="3"/>
  <c r="X15" i="3"/>
  <c r="X14" i="3"/>
  <c r="X27" i="3"/>
  <c r="Y11" i="3"/>
  <c r="X11" i="3"/>
  <c r="X6" i="3"/>
  <c r="X5" i="3"/>
  <c r="V138" i="3"/>
  <c r="V137" i="3"/>
  <c r="V136" i="3"/>
  <c r="V132" i="3"/>
  <c r="X4" i="3"/>
  <c r="X3" i="3"/>
  <c r="X23" i="3"/>
  <c r="X22" i="3"/>
  <c r="X19" i="3"/>
  <c r="X20" i="3"/>
  <c r="X12" i="3"/>
  <c r="Y24" i="3"/>
  <c r="X24" i="3"/>
  <c r="Y16" i="3"/>
  <c r="X16" i="3"/>
  <c r="Y8" i="3"/>
  <c r="X8" i="3"/>
  <c r="Y25" i="3"/>
  <c r="X25" i="3"/>
  <c r="Y17" i="3"/>
  <c r="X17" i="3"/>
  <c r="Y13" i="3"/>
  <c r="Y21" i="3"/>
  <c r="Y2" i="3"/>
  <c r="X2" i="3"/>
  <c r="Y9" i="3"/>
  <c r="X26" i="3"/>
  <c r="X18" i="3"/>
  <c r="X10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31" i="3"/>
  <c r="AA133" i="3"/>
  <c r="AA134" i="3"/>
  <c r="AA135" i="3"/>
  <c r="AA180" i="3"/>
  <c r="AA2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28" i="3"/>
  <c r="AA178" i="3"/>
  <c r="AA179" i="3"/>
  <c r="W178" i="3"/>
  <c r="W179" i="3"/>
  <c r="AA130" i="3"/>
  <c r="Y181" i="3"/>
  <c r="AA181" i="3"/>
  <c r="Y138" i="3"/>
  <c r="W138" i="3"/>
  <c r="Y139" i="3"/>
  <c r="W139" i="3"/>
  <c r="Y177" i="3"/>
  <c r="W177" i="3"/>
  <c r="Y132" i="3"/>
  <c r="W132" i="3"/>
  <c r="Y136" i="3"/>
  <c r="W136" i="3"/>
  <c r="Y137" i="3"/>
  <c r="W137" i="3"/>
  <c r="X183" i="3"/>
  <c r="AA183" i="3"/>
  <c r="Y183" i="3"/>
  <c r="X182" i="3"/>
  <c r="AA182" i="3"/>
  <c r="Y182" i="3"/>
  <c r="AA137" i="3"/>
  <c r="AA136" i="3"/>
  <c r="AA138" i="3"/>
  <c r="AA132" i="3"/>
  <c r="AB139" i="3"/>
  <c r="X139" i="3"/>
  <c r="Q139" i="3"/>
  <c r="P139" i="3"/>
  <c r="P37" i="3"/>
  <c r="Q37" i="3"/>
  <c r="P176" i="3"/>
  <c r="Q176" i="3"/>
  <c r="T176" i="3"/>
  <c r="V176" i="3"/>
  <c r="T175" i="3"/>
  <c r="V175" i="3"/>
  <c r="O175" i="3"/>
  <c r="T174" i="3"/>
  <c r="V174" i="3"/>
  <c r="O174" i="3"/>
  <c r="T173" i="3"/>
  <c r="V173" i="3"/>
  <c r="O173" i="3"/>
  <c r="O176" i="3"/>
  <c r="T172" i="3"/>
  <c r="V172" i="3"/>
  <c r="O172" i="3"/>
  <c r="X177" i="3"/>
  <c r="X178" i="3"/>
  <c r="X179" i="3"/>
  <c r="X180" i="3"/>
  <c r="X181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30" i="3"/>
  <c r="X131" i="3"/>
  <c r="X132" i="3"/>
  <c r="X133" i="3"/>
  <c r="X138" i="3"/>
  <c r="X134" i="3"/>
  <c r="X135" i="3"/>
  <c r="X136" i="3"/>
  <c r="X137" i="3"/>
  <c r="AA162" i="3"/>
  <c r="Y157" i="3"/>
  <c r="AA141" i="3"/>
  <c r="AA140" i="3"/>
  <c r="Y176" i="3"/>
  <c r="W176" i="3"/>
  <c r="Y173" i="3"/>
  <c r="W173" i="3"/>
  <c r="Y174" i="3"/>
  <c r="W174" i="3"/>
  <c r="X175" i="3"/>
  <c r="W175" i="3"/>
  <c r="AA172" i="3"/>
  <c r="W172" i="3"/>
  <c r="AA174" i="3"/>
  <c r="X174" i="3"/>
  <c r="AA173" i="3"/>
  <c r="X173" i="3"/>
  <c r="AA176" i="3"/>
  <c r="X172" i="3"/>
  <c r="Y172" i="3"/>
  <c r="AA175" i="3"/>
  <c r="Y175" i="3"/>
  <c r="X176" i="3"/>
  <c r="X157" i="3"/>
  <c r="AA157" i="3"/>
  <c r="X161" i="3"/>
  <c r="AA161" i="3"/>
  <c r="X160" i="3"/>
  <c r="AA160" i="3"/>
  <c r="X143" i="3"/>
  <c r="AA143" i="3"/>
  <c r="X159" i="3"/>
  <c r="AA159" i="3"/>
  <c r="X158" i="3"/>
  <c r="AA158" i="3"/>
  <c r="X142" i="3"/>
  <c r="AA142" i="3"/>
  <c r="X141" i="3"/>
  <c r="X162" i="3"/>
  <c r="X140" i="3"/>
  <c r="AA120" i="3"/>
  <c r="AA121" i="3"/>
  <c r="AA122" i="3"/>
  <c r="AA123" i="3"/>
  <c r="AA124" i="3"/>
  <c r="AA125" i="3"/>
  <c r="AA126" i="3"/>
  <c r="AA127" i="3"/>
  <c r="AA128" i="3"/>
  <c r="AA129" i="3"/>
  <c r="AA163" i="3"/>
  <c r="AA164" i="3"/>
  <c r="AA165" i="3"/>
  <c r="AA166" i="3"/>
  <c r="AA167" i="3"/>
  <c r="AA168" i="3"/>
  <c r="AA169" i="3"/>
  <c r="AA170" i="3"/>
  <c r="AA171" i="3"/>
  <c r="Q129" i="3"/>
  <c r="P129" i="3"/>
  <c r="Q128" i="3"/>
  <c r="P128" i="3"/>
  <c r="Q127" i="3"/>
  <c r="P127" i="3"/>
  <c r="Q126" i="3"/>
  <c r="P126" i="3"/>
  <c r="X122" i="3"/>
  <c r="X114" i="3"/>
  <c r="X106" i="3"/>
  <c r="X121" i="3"/>
  <c r="X105" i="3"/>
  <c r="X104" i="3"/>
  <c r="X127" i="3"/>
  <c r="X119" i="3"/>
  <c r="X111" i="3"/>
  <c r="X103" i="3"/>
  <c r="X128" i="3"/>
  <c r="X112" i="3"/>
  <c r="X167" i="3"/>
  <c r="X126" i="3"/>
  <c r="X118" i="3"/>
  <c r="X110" i="3"/>
  <c r="X102" i="3"/>
  <c r="X120" i="3"/>
  <c r="X166" i="3"/>
  <c r="X125" i="3"/>
  <c r="X117" i="3"/>
  <c r="X109" i="3"/>
  <c r="X101" i="3"/>
  <c r="X165" i="3"/>
  <c r="X124" i="3"/>
  <c r="X116" i="3"/>
  <c r="X108" i="3"/>
  <c r="X129" i="3"/>
  <c r="X113" i="3"/>
  <c r="X164" i="3"/>
  <c r="X123" i="3"/>
  <c r="X115" i="3"/>
  <c r="X107" i="3"/>
  <c r="X170" i="3"/>
  <c r="X169" i="3"/>
  <c r="X171" i="3"/>
  <c r="X163" i="3"/>
  <c r="X168" i="3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70" i="3"/>
  <c r="AD70" i="3"/>
  <c r="AB71" i="3"/>
  <c r="AD71" i="3"/>
  <c r="AB72" i="3"/>
  <c r="AD72" i="3"/>
  <c r="AB73" i="3"/>
  <c r="AD73" i="3"/>
  <c r="AB74" i="3"/>
  <c r="AD74" i="3"/>
  <c r="AB75" i="3"/>
  <c r="AD75" i="3"/>
  <c r="AB76" i="3"/>
  <c r="AD76" i="3"/>
  <c r="AB77" i="3"/>
  <c r="AD77" i="3"/>
  <c r="AB78" i="3"/>
  <c r="AD78" i="3"/>
  <c r="AB79" i="3"/>
  <c r="AD79" i="3"/>
  <c r="AB80" i="3"/>
  <c r="AD80" i="3"/>
  <c r="AB81" i="3"/>
  <c r="AD81" i="3"/>
  <c r="AB82" i="3"/>
  <c r="AD82" i="3"/>
  <c r="AB83" i="3"/>
  <c r="AD83" i="3"/>
  <c r="AB84" i="3"/>
  <c r="AD84" i="3"/>
  <c r="AB85" i="3"/>
  <c r="AD85" i="3"/>
  <c r="AB86" i="3"/>
  <c r="AD86" i="3"/>
  <c r="AB87" i="3"/>
  <c r="AD87" i="3"/>
  <c r="AB88" i="3"/>
  <c r="AD88" i="3"/>
  <c r="AB89" i="3"/>
  <c r="AD89" i="3"/>
  <c r="AB90" i="3"/>
  <c r="AD90" i="3"/>
  <c r="AB92" i="3"/>
  <c r="AD92" i="3"/>
  <c r="AB93" i="3"/>
  <c r="AD93" i="3"/>
  <c r="AB94" i="3"/>
  <c r="AD94" i="3"/>
  <c r="AB95" i="3"/>
  <c r="AD95" i="3"/>
  <c r="AB96" i="3"/>
  <c r="AD96" i="3"/>
  <c r="AB98" i="3"/>
  <c r="AD98" i="3"/>
  <c r="AB99" i="3"/>
  <c r="AD99" i="3"/>
  <c r="AB100" i="3"/>
  <c r="AD100" i="3"/>
  <c r="AB138" i="3"/>
  <c r="AB137" i="3"/>
  <c r="AB150" i="3"/>
  <c r="AB151" i="3"/>
  <c r="AB152" i="3"/>
  <c r="AB153" i="3"/>
  <c r="AB160" i="3"/>
  <c r="AB161" i="3"/>
  <c r="AB162" i="3"/>
  <c r="AB177" i="3"/>
  <c r="AB178" i="3"/>
  <c r="AB179" i="3"/>
  <c r="AB180" i="3"/>
  <c r="AB181" i="3"/>
  <c r="AB182" i="3"/>
  <c r="AB183" i="3"/>
  <c r="AB2" i="3"/>
  <c r="P178" i="3"/>
  <c r="Q178" i="3"/>
  <c r="P179" i="3"/>
  <c r="Q179" i="3"/>
  <c r="P180" i="3"/>
  <c r="Q180" i="3"/>
  <c r="P181" i="3"/>
  <c r="Q181" i="3"/>
  <c r="P172" i="3"/>
  <c r="Q172" i="3"/>
  <c r="P173" i="3"/>
  <c r="Q173" i="3"/>
  <c r="P174" i="3"/>
  <c r="Q174" i="3"/>
  <c r="P175" i="3"/>
  <c r="Q175" i="3"/>
  <c r="P177" i="3"/>
  <c r="Q177" i="3"/>
  <c r="K136" i="15"/>
  <c r="K137" i="15"/>
  <c r="K134" i="15"/>
  <c r="K138" i="15"/>
  <c r="K135" i="15"/>
  <c r="C135" i="15"/>
  <c r="C138" i="15"/>
  <c r="C134" i="15"/>
  <c r="C137" i="15"/>
  <c r="C136" i="15"/>
  <c r="P164" i="3"/>
  <c r="Q164" i="3"/>
  <c r="P165" i="3"/>
  <c r="Q165" i="3"/>
  <c r="P166" i="3"/>
  <c r="Q166" i="3"/>
  <c r="P167" i="3"/>
  <c r="Q167" i="3"/>
  <c r="P168" i="3"/>
  <c r="Q168" i="3"/>
  <c r="P169" i="3"/>
  <c r="Q169" i="3"/>
  <c r="P170" i="3"/>
  <c r="Q170" i="3"/>
  <c r="P171" i="3"/>
  <c r="Q171" i="3"/>
  <c r="P163" i="3"/>
  <c r="Q163" i="3"/>
  <c r="P158" i="3"/>
  <c r="Q158" i="3"/>
  <c r="P159" i="3"/>
  <c r="Q159" i="3"/>
  <c r="P160" i="3"/>
  <c r="Q160" i="3"/>
  <c r="P161" i="3"/>
  <c r="Q161" i="3"/>
  <c r="P162" i="3"/>
  <c r="Q162" i="3"/>
  <c r="Q157" i="3"/>
  <c r="P157" i="3"/>
  <c r="O149" i="3"/>
  <c r="O150" i="3"/>
  <c r="O151" i="3"/>
  <c r="O152" i="3"/>
  <c r="O153" i="3"/>
  <c r="O148" i="3"/>
  <c r="P148" i="3"/>
  <c r="T148" i="3"/>
  <c r="V148" i="3"/>
  <c r="W148" i="3"/>
  <c r="Q153" i="3"/>
  <c r="T153" i="3"/>
  <c r="V153" i="3"/>
  <c r="W153" i="3"/>
  <c r="P152" i="3"/>
  <c r="T152" i="3"/>
  <c r="V152" i="3"/>
  <c r="W152" i="3"/>
  <c r="Q151" i="3"/>
  <c r="T151" i="3"/>
  <c r="V151" i="3"/>
  <c r="W151" i="3"/>
  <c r="P150" i="3"/>
  <c r="T150" i="3"/>
  <c r="V150" i="3"/>
  <c r="W150" i="3"/>
  <c r="P149" i="3"/>
  <c r="T149" i="3"/>
  <c r="V149" i="3"/>
  <c r="W149" i="3"/>
  <c r="P151" i="3"/>
  <c r="P153" i="3"/>
  <c r="Q152" i="3"/>
  <c r="Q150" i="3"/>
  <c r="Q149" i="3"/>
  <c r="Q148" i="3"/>
  <c r="Y152" i="3"/>
  <c r="AA152" i="3"/>
  <c r="X152" i="3"/>
  <c r="Y153" i="3"/>
  <c r="AA153" i="3"/>
  <c r="X153" i="3"/>
  <c r="Y149" i="3"/>
  <c r="AA149" i="3"/>
  <c r="X149" i="3"/>
  <c r="Y148" i="3"/>
  <c r="AA148" i="3"/>
  <c r="X148" i="3"/>
  <c r="Y151" i="3"/>
  <c r="AA151" i="3"/>
  <c r="X151" i="3"/>
  <c r="Y150" i="3"/>
  <c r="AA150" i="3"/>
  <c r="X150" i="3"/>
  <c r="N141" i="3"/>
  <c r="N142" i="3"/>
  <c r="N143" i="3"/>
  <c r="N140" i="3"/>
  <c r="P142" i="3"/>
  <c r="O142" i="3"/>
  <c r="Q143" i="3"/>
  <c r="O143" i="3"/>
  <c r="P140" i="3"/>
  <c r="O140" i="3"/>
  <c r="P141" i="3"/>
  <c r="O141" i="3"/>
  <c r="Q142" i="3"/>
  <c r="P143" i="3"/>
  <c r="Q141" i="3"/>
  <c r="Q140" i="3"/>
  <c r="P131" i="3"/>
  <c r="Q132" i="3"/>
  <c r="P133" i="3"/>
  <c r="P138" i="3"/>
  <c r="P134" i="3"/>
  <c r="Q135" i="3"/>
  <c r="P136" i="3"/>
  <c r="P137" i="3"/>
  <c r="P130" i="3"/>
  <c r="Q138" i="3"/>
  <c r="Q136" i="3"/>
  <c r="Q130" i="3"/>
  <c r="Q137" i="3"/>
  <c r="Q133" i="3"/>
  <c r="P135" i="3"/>
  <c r="P132" i="3"/>
  <c r="Q131" i="3"/>
  <c r="Q134" i="3"/>
  <c r="P117" i="3"/>
  <c r="Q117" i="3"/>
  <c r="P118" i="3"/>
  <c r="Q118" i="3"/>
  <c r="P119" i="3"/>
  <c r="Q119" i="3"/>
  <c r="P120" i="3"/>
  <c r="Q120" i="3"/>
  <c r="P121" i="3"/>
  <c r="Q121" i="3"/>
  <c r="P122" i="3"/>
  <c r="Q122" i="3"/>
  <c r="P123" i="3"/>
  <c r="Q123" i="3"/>
  <c r="P124" i="3"/>
  <c r="Q124" i="3"/>
  <c r="P125" i="3"/>
  <c r="Q125" i="3"/>
  <c r="P108" i="3"/>
  <c r="Q108" i="3"/>
  <c r="P109" i="3"/>
  <c r="Q109" i="3"/>
  <c r="P110" i="3"/>
  <c r="Q110" i="3"/>
  <c r="P111" i="3"/>
  <c r="Q111" i="3"/>
  <c r="P112" i="3"/>
  <c r="Q112" i="3"/>
  <c r="P113" i="3"/>
  <c r="Q113" i="3"/>
  <c r="P114" i="3"/>
  <c r="Q114" i="3"/>
  <c r="P115" i="3"/>
  <c r="Q115" i="3"/>
  <c r="P116" i="3"/>
  <c r="Q116" i="3"/>
  <c r="P107" i="3"/>
  <c r="Q107" i="3"/>
  <c r="P102" i="3"/>
  <c r="Q102" i="3"/>
  <c r="P103" i="3"/>
  <c r="Q103" i="3"/>
  <c r="P104" i="3"/>
  <c r="Q104" i="3"/>
  <c r="P105" i="3"/>
  <c r="Q105" i="3"/>
  <c r="P106" i="3"/>
  <c r="Q106" i="3"/>
  <c r="P101" i="3"/>
  <c r="Q101" i="3"/>
  <c r="P3" i="3"/>
  <c r="Q3" i="3"/>
  <c r="P4" i="3"/>
  <c r="Q4" i="3"/>
  <c r="P5" i="3"/>
  <c r="Q5" i="3"/>
  <c r="P6" i="3"/>
  <c r="Q6" i="3"/>
  <c r="P7" i="3"/>
  <c r="Q7" i="3"/>
  <c r="P8" i="3"/>
  <c r="Q8" i="3"/>
  <c r="P9" i="3"/>
  <c r="Q9" i="3"/>
  <c r="P10" i="3"/>
  <c r="Q10" i="3"/>
  <c r="P11" i="3"/>
  <c r="Q11" i="3"/>
  <c r="P12" i="3"/>
  <c r="Q12" i="3"/>
  <c r="P13" i="3"/>
  <c r="Q13" i="3"/>
  <c r="P14" i="3"/>
  <c r="Q14" i="3"/>
  <c r="P15" i="3"/>
  <c r="Q15" i="3"/>
  <c r="P16" i="3"/>
  <c r="Q16" i="3"/>
  <c r="P17" i="3"/>
  <c r="Q17" i="3"/>
  <c r="P18" i="3"/>
  <c r="Q18" i="3"/>
  <c r="P19" i="3"/>
  <c r="Q19" i="3"/>
  <c r="P20" i="3"/>
  <c r="Q20" i="3"/>
  <c r="P21" i="3"/>
  <c r="Q21" i="3"/>
  <c r="P22" i="3"/>
  <c r="Q22" i="3"/>
  <c r="P23" i="3"/>
  <c r="Q23" i="3"/>
  <c r="P24" i="3"/>
  <c r="Q24" i="3"/>
  <c r="P25" i="3"/>
  <c r="Q25" i="3"/>
  <c r="P26" i="3"/>
  <c r="Q26" i="3"/>
  <c r="P27" i="3"/>
  <c r="Q27" i="3"/>
  <c r="Q2" i="3"/>
  <c r="P2" i="3"/>
  <c r="J85" i="15"/>
  <c r="J84" i="15"/>
  <c r="J83" i="15"/>
  <c r="J82" i="15"/>
  <c r="J81" i="15"/>
  <c r="J80" i="15"/>
  <c r="J9" i="15"/>
  <c r="J10" i="15"/>
  <c r="J11" i="15"/>
  <c r="J12" i="15"/>
  <c r="J13" i="15"/>
  <c r="J14" i="15"/>
  <c r="J15" i="15"/>
  <c r="J16" i="15"/>
  <c r="J17" i="15"/>
  <c r="J18" i="15"/>
  <c r="J19" i="15"/>
  <c r="J20" i="15"/>
  <c r="J21" i="15"/>
  <c r="J22" i="15"/>
  <c r="J23" i="15"/>
  <c r="J24" i="15"/>
  <c r="J25" i="15"/>
  <c r="J26" i="15"/>
  <c r="J27" i="15"/>
  <c r="J28" i="15"/>
  <c r="J29" i="15"/>
  <c r="J30" i="15"/>
  <c r="J31" i="15"/>
  <c r="J32" i="15"/>
  <c r="J33" i="15"/>
  <c r="J34" i="15"/>
  <c r="J35" i="15"/>
  <c r="J36" i="15"/>
  <c r="J37" i="15"/>
  <c r="J38" i="15"/>
  <c r="J39" i="15"/>
  <c r="J40" i="15"/>
  <c r="J41" i="15"/>
  <c r="J42" i="15"/>
  <c r="J43" i="15"/>
  <c r="J44" i="15"/>
  <c r="J45" i="15"/>
  <c r="J46" i="15"/>
  <c r="J47" i="15"/>
  <c r="J48" i="15"/>
  <c r="J49" i="15"/>
  <c r="J50" i="15"/>
  <c r="J51" i="15"/>
  <c r="J52" i="15"/>
  <c r="J53" i="15"/>
  <c r="J54" i="15"/>
  <c r="J55" i="15"/>
  <c r="J56" i="15"/>
  <c r="J57" i="15"/>
  <c r="J58" i="15"/>
  <c r="J59" i="15"/>
  <c r="J60" i="15"/>
  <c r="J61" i="15"/>
  <c r="J62" i="15"/>
  <c r="J63" i="15"/>
  <c r="J64" i="15"/>
  <c r="J65" i="15"/>
  <c r="J66" i="15"/>
  <c r="J67" i="15"/>
  <c r="J68" i="15"/>
  <c r="J69" i="15"/>
  <c r="J70" i="15"/>
  <c r="J71" i="15"/>
  <c r="J72" i="15"/>
  <c r="J73" i="15"/>
  <c r="J74" i="15"/>
  <c r="J75" i="15"/>
  <c r="J76" i="15"/>
  <c r="J77" i="15"/>
  <c r="J78" i="15"/>
  <c r="J79" i="15"/>
  <c r="J8" i="15"/>
  <c r="P29" i="3"/>
  <c r="Q29" i="3"/>
  <c r="P30" i="3"/>
  <c r="Q30" i="3"/>
  <c r="P31" i="3"/>
  <c r="Q31" i="3"/>
  <c r="P32" i="3"/>
  <c r="Q32" i="3"/>
  <c r="P33" i="3"/>
  <c r="Q33" i="3"/>
  <c r="P34" i="3"/>
  <c r="Q34" i="3"/>
  <c r="P35" i="3"/>
  <c r="Q35" i="3"/>
  <c r="P36" i="3"/>
  <c r="Q36" i="3"/>
  <c r="P38" i="3"/>
  <c r="Q38" i="3"/>
  <c r="P39" i="3"/>
  <c r="Q39" i="3"/>
  <c r="P40" i="3"/>
  <c r="Q40" i="3"/>
  <c r="P41" i="3"/>
  <c r="Q41" i="3"/>
  <c r="P42" i="3"/>
  <c r="Q42" i="3"/>
  <c r="P43" i="3"/>
  <c r="Q43" i="3"/>
  <c r="P44" i="3"/>
  <c r="Q44" i="3"/>
  <c r="P45" i="3"/>
  <c r="Q45" i="3"/>
  <c r="P46" i="3"/>
  <c r="Q46" i="3"/>
  <c r="P47" i="3"/>
  <c r="Q47" i="3"/>
  <c r="P48" i="3"/>
  <c r="Q48" i="3"/>
  <c r="P49" i="3"/>
  <c r="Q49" i="3"/>
  <c r="P50" i="3"/>
  <c r="Q50" i="3"/>
  <c r="P51" i="3"/>
  <c r="Q51" i="3"/>
  <c r="P52" i="3"/>
  <c r="Q52" i="3"/>
  <c r="P53" i="3"/>
  <c r="Q53" i="3"/>
  <c r="P54" i="3"/>
  <c r="Q54" i="3"/>
  <c r="P55" i="3"/>
  <c r="Q55" i="3"/>
  <c r="P56" i="3"/>
  <c r="Q56" i="3"/>
  <c r="P57" i="3"/>
  <c r="Q57" i="3"/>
  <c r="P58" i="3"/>
  <c r="Q58" i="3"/>
  <c r="P59" i="3"/>
  <c r="Q59" i="3"/>
  <c r="P60" i="3"/>
  <c r="Q60" i="3"/>
  <c r="P61" i="3"/>
  <c r="Q61" i="3"/>
  <c r="P62" i="3"/>
  <c r="Q62" i="3"/>
  <c r="P63" i="3"/>
  <c r="Q63" i="3"/>
  <c r="P64" i="3"/>
  <c r="Q64" i="3"/>
  <c r="P65" i="3"/>
  <c r="Q65" i="3"/>
  <c r="P66" i="3"/>
  <c r="Q66" i="3"/>
  <c r="P67" i="3"/>
  <c r="Q67" i="3"/>
  <c r="P68" i="3"/>
  <c r="Q68" i="3"/>
  <c r="P69" i="3"/>
  <c r="Q69" i="3"/>
  <c r="P70" i="3"/>
  <c r="Q70" i="3"/>
  <c r="P71" i="3"/>
  <c r="Q71" i="3"/>
  <c r="P72" i="3"/>
  <c r="Q72" i="3"/>
  <c r="P73" i="3"/>
  <c r="Q73" i="3"/>
  <c r="P74" i="3"/>
  <c r="Q74" i="3"/>
  <c r="P75" i="3"/>
  <c r="Q75" i="3"/>
  <c r="P76" i="3"/>
  <c r="Q76" i="3"/>
  <c r="P77" i="3"/>
  <c r="Q77" i="3"/>
  <c r="P78" i="3"/>
  <c r="Q78" i="3"/>
  <c r="P79" i="3"/>
  <c r="Q79" i="3"/>
  <c r="P80" i="3"/>
  <c r="Q80" i="3"/>
  <c r="P81" i="3"/>
  <c r="Q81" i="3"/>
  <c r="P82" i="3"/>
  <c r="Q82" i="3"/>
  <c r="P83" i="3"/>
  <c r="Q83" i="3"/>
  <c r="P84" i="3"/>
  <c r="Q84" i="3"/>
  <c r="P85" i="3"/>
  <c r="Q85" i="3"/>
  <c r="P86" i="3"/>
  <c r="Q86" i="3"/>
  <c r="P87" i="3"/>
  <c r="Q87" i="3"/>
  <c r="P88" i="3"/>
  <c r="Q88" i="3"/>
  <c r="P89" i="3"/>
  <c r="Q89" i="3"/>
  <c r="P90" i="3"/>
  <c r="Q90" i="3"/>
  <c r="P91" i="3"/>
  <c r="Q91" i="3"/>
  <c r="P92" i="3"/>
  <c r="Q92" i="3"/>
  <c r="P93" i="3"/>
  <c r="Q93" i="3"/>
  <c r="P94" i="3"/>
  <c r="Q94" i="3"/>
  <c r="P95" i="3"/>
  <c r="Q95" i="3"/>
  <c r="P96" i="3"/>
  <c r="Q96" i="3"/>
  <c r="P97" i="3"/>
  <c r="Q97" i="3"/>
  <c r="P98" i="3"/>
  <c r="Q98" i="3"/>
  <c r="P99" i="3"/>
  <c r="Q99" i="3"/>
  <c r="P100" i="3"/>
  <c r="Q100" i="3"/>
  <c r="Q28" i="3"/>
  <c r="P28" i="3"/>
  <c r="C148" i="15"/>
  <c r="K148" i="15"/>
  <c r="C139" i="15"/>
  <c r="K139" i="15"/>
  <c r="C147" i="15"/>
  <c r="K147" i="15"/>
  <c r="C146" i="15"/>
  <c r="K146" i="15"/>
  <c r="K150" i="15"/>
  <c r="C150" i="15"/>
  <c r="K149" i="15"/>
  <c r="C149" i="15"/>
  <c r="K145" i="15"/>
  <c r="C145" i="15"/>
  <c r="K144" i="15"/>
  <c r="C144" i="15"/>
  <c r="K143" i="15"/>
  <c r="C143" i="15"/>
  <c r="K142" i="15"/>
  <c r="C142" i="15"/>
  <c r="K141" i="15"/>
  <c r="C141" i="15"/>
  <c r="K140" i="15"/>
  <c r="C140" i="15"/>
  <c r="K133" i="15"/>
  <c r="C133" i="15"/>
  <c r="K132" i="15"/>
  <c r="C132" i="15"/>
  <c r="K131" i="15"/>
  <c r="C131" i="15"/>
  <c r="K130" i="15"/>
  <c r="C130" i="15"/>
  <c r="K129" i="15"/>
  <c r="C129" i="15"/>
  <c r="K128" i="15"/>
  <c r="C128" i="15"/>
  <c r="K127" i="15"/>
  <c r="C127" i="15"/>
  <c r="K126" i="15"/>
  <c r="C126" i="15"/>
  <c r="K125" i="15"/>
  <c r="C125" i="15"/>
  <c r="K124" i="15"/>
  <c r="C124" i="15"/>
  <c r="K123" i="15"/>
  <c r="C123" i="15"/>
  <c r="K122" i="15"/>
  <c r="C122" i="15"/>
  <c r="K121" i="15"/>
  <c r="C121" i="15"/>
  <c r="K120" i="15"/>
  <c r="C120" i="15"/>
  <c r="K119" i="15"/>
  <c r="C119" i="15"/>
  <c r="K118" i="15"/>
  <c r="C118" i="15"/>
  <c r="K117" i="15"/>
  <c r="C117" i="15"/>
  <c r="K116" i="15"/>
  <c r="C116" i="15"/>
  <c r="K115" i="15"/>
  <c r="C115" i="15"/>
  <c r="K114" i="15"/>
  <c r="C114" i="15"/>
  <c r="K113" i="15"/>
  <c r="C113" i="15"/>
  <c r="K112" i="15"/>
  <c r="C112" i="15"/>
  <c r="K111" i="15"/>
  <c r="C111" i="15"/>
  <c r="K110" i="15"/>
  <c r="C110" i="15"/>
  <c r="K109" i="15"/>
  <c r="C109" i="15"/>
  <c r="K108" i="15"/>
  <c r="C108" i="15"/>
  <c r="K107" i="15"/>
  <c r="C107" i="15"/>
  <c r="K106" i="15"/>
  <c r="C106" i="15"/>
  <c r="K105" i="15"/>
  <c r="C105" i="15"/>
  <c r="K104" i="15"/>
  <c r="C104" i="15"/>
  <c r="K103" i="15"/>
  <c r="C103" i="15"/>
  <c r="K102" i="15"/>
  <c r="C102" i="15"/>
  <c r="K101" i="15"/>
  <c r="C101" i="15"/>
  <c r="K100" i="15"/>
  <c r="C100" i="15"/>
  <c r="K99" i="15"/>
  <c r="C99" i="15"/>
  <c r="K98" i="15"/>
  <c r="C98" i="15"/>
  <c r="K97" i="15"/>
  <c r="C97" i="15"/>
  <c r="K96" i="15"/>
  <c r="C96" i="15"/>
  <c r="K95" i="15"/>
  <c r="C95" i="15"/>
  <c r="K94" i="15"/>
  <c r="C94" i="15"/>
  <c r="K93" i="15"/>
  <c r="C93" i="15"/>
  <c r="K92" i="15"/>
  <c r="C92" i="15"/>
  <c r="K85" i="15"/>
  <c r="C85" i="15"/>
  <c r="K84" i="15"/>
  <c r="C84" i="15"/>
  <c r="K83" i="15"/>
  <c r="C83" i="15"/>
  <c r="K82" i="15"/>
  <c r="C82" i="15"/>
  <c r="K81" i="15"/>
  <c r="C81" i="15"/>
  <c r="K80" i="15"/>
  <c r="C80" i="15"/>
  <c r="K79" i="15"/>
  <c r="C79" i="15"/>
  <c r="K78" i="15"/>
  <c r="C78" i="15"/>
  <c r="K77" i="15"/>
  <c r="C77" i="15"/>
  <c r="K76" i="15"/>
  <c r="C76" i="15"/>
  <c r="K75" i="15"/>
  <c r="C75" i="15"/>
  <c r="K74" i="15"/>
  <c r="C74" i="15"/>
  <c r="K73" i="15"/>
  <c r="C73" i="15"/>
  <c r="K72" i="15"/>
  <c r="C72" i="15"/>
  <c r="K71" i="15"/>
  <c r="C71" i="15"/>
  <c r="K70" i="15"/>
  <c r="C70" i="15"/>
  <c r="K69" i="15"/>
  <c r="C69" i="15"/>
  <c r="K68" i="15"/>
  <c r="C68" i="15"/>
  <c r="K67" i="15"/>
  <c r="C67" i="15"/>
  <c r="K66" i="15"/>
  <c r="C66" i="15"/>
  <c r="K65" i="15"/>
  <c r="C65" i="15"/>
  <c r="K64" i="15"/>
  <c r="C64" i="15"/>
  <c r="K63" i="15"/>
  <c r="C63" i="15"/>
  <c r="K62" i="15"/>
  <c r="C62" i="15"/>
  <c r="K61" i="15"/>
  <c r="C61" i="15"/>
  <c r="K60" i="15"/>
  <c r="C60" i="15"/>
  <c r="K59" i="15"/>
  <c r="C59" i="15"/>
  <c r="K58" i="15"/>
  <c r="C58" i="15"/>
  <c r="K57" i="15"/>
  <c r="C57" i="15"/>
  <c r="K56" i="15"/>
  <c r="C56" i="15"/>
  <c r="K55" i="15"/>
  <c r="C55" i="15"/>
  <c r="K54" i="15"/>
  <c r="C54" i="15"/>
  <c r="K53" i="15"/>
  <c r="C53" i="15"/>
  <c r="K52" i="15"/>
  <c r="C52" i="15"/>
  <c r="K51" i="15"/>
  <c r="C51" i="15"/>
  <c r="K50" i="15"/>
  <c r="C50" i="15"/>
  <c r="K49" i="15"/>
  <c r="C49" i="15"/>
  <c r="K48" i="15"/>
  <c r="C48" i="15"/>
  <c r="K47" i="15"/>
  <c r="C47" i="15"/>
  <c r="K46" i="15"/>
  <c r="C46" i="15"/>
  <c r="K45" i="15"/>
  <c r="C45" i="15"/>
  <c r="K44" i="15"/>
  <c r="C44" i="15"/>
  <c r="K43" i="15"/>
  <c r="C43" i="15"/>
  <c r="K42" i="15"/>
  <c r="C42" i="15"/>
  <c r="K41" i="15"/>
  <c r="C41" i="15"/>
  <c r="K40" i="15"/>
  <c r="C40" i="15"/>
  <c r="K39" i="15"/>
  <c r="C39" i="15"/>
  <c r="K38" i="15"/>
  <c r="C38" i="15"/>
  <c r="K37" i="15"/>
  <c r="C37" i="15"/>
  <c r="K36" i="15"/>
  <c r="K35" i="15"/>
  <c r="C35" i="15"/>
  <c r="K34" i="15"/>
  <c r="C34" i="15"/>
  <c r="K33" i="15"/>
  <c r="C33" i="15"/>
  <c r="K32" i="15"/>
  <c r="C32" i="15"/>
  <c r="K31" i="15"/>
  <c r="C31" i="15"/>
  <c r="K30" i="15"/>
  <c r="C30" i="15"/>
  <c r="K29" i="15"/>
  <c r="C29" i="15"/>
  <c r="K28" i="15"/>
  <c r="C28" i="15"/>
  <c r="K27" i="15"/>
  <c r="C27" i="15"/>
  <c r="K26" i="15"/>
  <c r="C26" i="15"/>
  <c r="K25" i="15"/>
  <c r="C25" i="15"/>
  <c r="K24" i="15"/>
  <c r="C24" i="15"/>
  <c r="K23" i="15"/>
  <c r="C23" i="15"/>
  <c r="K22" i="15"/>
  <c r="C22" i="15"/>
  <c r="K21" i="15"/>
  <c r="C21" i="15"/>
  <c r="K20" i="15"/>
  <c r="C20" i="15"/>
  <c r="K19" i="15"/>
  <c r="C19" i="15"/>
  <c r="K18" i="15"/>
  <c r="C18" i="15"/>
  <c r="K17" i="15"/>
  <c r="C17" i="15"/>
  <c r="K16" i="15"/>
  <c r="C16" i="15"/>
  <c r="K15" i="15"/>
  <c r="C15" i="15"/>
  <c r="K14" i="15"/>
  <c r="C14" i="15"/>
  <c r="K13" i="15"/>
  <c r="C13" i="15"/>
  <c r="K12" i="15"/>
  <c r="C12" i="15"/>
  <c r="K11" i="15"/>
  <c r="C11" i="15"/>
  <c r="K10" i="15"/>
  <c r="C10" i="15"/>
  <c r="K9" i="15"/>
  <c r="C9" i="15"/>
  <c r="K8" i="15"/>
  <c r="C8" i="15"/>
  <c r="C3" i="3"/>
  <c r="C11" i="3"/>
  <c r="C19" i="3"/>
  <c r="C27" i="3"/>
  <c r="C35" i="3"/>
  <c r="C43" i="3"/>
  <c r="C51" i="3"/>
  <c r="C59" i="3"/>
  <c r="C67" i="3"/>
  <c r="C75" i="3"/>
  <c r="C83" i="3"/>
  <c r="C91" i="3"/>
  <c r="C99" i="3"/>
  <c r="C107" i="3"/>
  <c r="C115" i="3"/>
  <c r="C123" i="3"/>
  <c r="C131" i="3"/>
  <c r="C139" i="3"/>
  <c r="C147" i="3"/>
  <c r="C155" i="3"/>
  <c r="C163" i="3"/>
  <c r="C171" i="3"/>
  <c r="C179" i="3"/>
  <c r="I4" i="3"/>
  <c r="J4" i="3"/>
  <c r="K4" i="3"/>
  <c r="AD4" i="3"/>
  <c r="I12" i="3"/>
  <c r="J12" i="3"/>
  <c r="K12" i="3"/>
  <c r="AD12" i="3"/>
  <c r="I20" i="3"/>
  <c r="J20" i="3"/>
  <c r="K20" i="3"/>
  <c r="AD20" i="3"/>
  <c r="I28" i="3"/>
  <c r="J28" i="3"/>
  <c r="K28" i="3"/>
  <c r="I36" i="3"/>
  <c r="J36" i="3"/>
  <c r="K36" i="3"/>
  <c r="I44" i="3"/>
  <c r="J44" i="3"/>
  <c r="K44" i="3"/>
  <c r="I52" i="3"/>
  <c r="J52" i="3"/>
  <c r="K52" i="3"/>
  <c r="I60" i="3"/>
  <c r="J60" i="3"/>
  <c r="K60" i="3"/>
  <c r="I68" i="3"/>
  <c r="J68" i="3"/>
  <c r="K68" i="3"/>
  <c r="I76" i="3"/>
  <c r="J76" i="3"/>
  <c r="I84" i="3"/>
  <c r="J84" i="3"/>
  <c r="I92" i="3"/>
  <c r="J92" i="3"/>
  <c r="I100" i="3"/>
  <c r="J100" i="3"/>
  <c r="I108" i="3"/>
  <c r="J108" i="3"/>
  <c r="K108" i="3"/>
  <c r="I116" i="3"/>
  <c r="J116" i="3"/>
  <c r="K116" i="3"/>
  <c r="I124" i="3"/>
  <c r="J124" i="3"/>
  <c r="K124" i="3"/>
  <c r="I132" i="3"/>
  <c r="I140" i="3"/>
  <c r="J140" i="3"/>
  <c r="K140" i="3"/>
  <c r="AD140" i="3"/>
  <c r="I148" i="3"/>
  <c r="J148" i="3"/>
  <c r="K148" i="3"/>
  <c r="AD148" i="3"/>
  <c r="I156" i="3"/>
  <c r="I164" i="3"/>
  <c r="J164" i="3"/>
  <c r="K164" i="3"/>
  <c r="I172" i="3"/>
  <c r="J172" i="3"/>
  <c r="K172" i="3"/>
  <c r="AD172" i="3"/>
  <c r="I180" i="3"/>
  <c r="J180" i="3"/>
  <c r="K180" i="3"/>
  <c r="AD180" i="3"/>
  <c r="C4" i="3"/>
  <c r="C12" i="3"/>
  <c r="C20" i="3"/>
  <c r="C28" i="3"/>
  <c r="C36" i="3"/>
  <c r="C44" i="3"/>
  <c r="C52" i="3"/>
  <c r="C60" i="3"/>
  <c r="C68" i="3"/>
  <c r="C76" i="3"/>
  <c r="C84" i="3"/>
  <c r="C92" i="3"/>
  <c r="C100" i="3"/>
  <c r="C108" i="3"/>
  <c r="C116" i="3"/>
  <c r="C124" i="3"/>
  <c r="C132" i="3"/>
  <c r="C140" i="3"/>
  <c r="C148" i="3"/>
  <c r="C156" i="3"/>
  <c r="C164" i="3"/>
  <c r="C172" i="3"/>
  <c r="C180" i="3"/>
  <c r="I5" i="3"/>
  <c r="J5" i="3"/>
  <c r="K5" i="3"/>
  <c r="AD5" i="3"/>
  <c r="I13" i="3"/>
  <c r="J13" i="3"/>
  <c r="K13" i="3"/>
  <c r="AD13" i="3"/>
  <c r="I21" i="3"/>
  <c r="J21" i="3"/>
  <c r="K21" i="3"/>
  <c r="AD21" i="3"/>
  <c r="I29" i="3"/>
  <c r="J29" i="3"/>
  <c r="K29" i="3"/>
  <c r="I37" i="3"/>
  <c r="J37" i="3"/>
  <c r="K37" i="3"/>
  <c r="I45" i="3"/>
  <c r="J45" i="3"/>
  <c r="K45" i="3"/>
  <c r="I53" i="3"/>
  <c r="J53" i="3"/>
  <c r="K53" i="3"/>
  <c r="I61" i="3"/>
  <c r="J61" i="3"/>
  <c r="K61" i="3"/>
  <c r="I69" i="3"/>
  <c r="J69" i="3"/>
  <c r="K69" i="3"/>
  <c r="I77" i="3"/>
  <c r="J77" i="3"/>
  <c r="I85" i="3"/>
  <c r="J85" i="3"/>
  <c r="I93" i="3"/>
  <c r="J93" i="3"/>
  <c r="I101" i="3"/>
  <c r="J101" i="3"/>
  <c r="K101" i="3"/>
  <c r="I109" i="3"/>
  <c r="J109" i="3"/>
  <c r="K109" i="3"/>
  <c r="I117" i="3"/>
  <c r="J117" i="3"/>
  <c r="K117" i="3"/>
  <c r="I125" i="3"/>
  <c r="J125" i="3"/>
  <c r="K125" i="3"/>
  <c r="I133" i="3"/>
  <c r="I141" i="3"/>
  <c r="J141" i="3"/>
  <c r="K141" i="3"/>
  <c r="AD141" i="3"/>
  <c r="I149" i="3"/>
  <c r="I157" i="3"/>
  <c r="J157" i="3"/>
  <c r="K157" i="3"/>
  <c r="AD157" i="3"/>
  <c r="I165" i="3"/>
  <c r="J165" i="3"/>
  <c r="K165" i="3"/>
  <c r="I173" i="3"/>
  <c r="J173" i="3"/>
  <c r="K173" i="3"/>
  <c r="AD173" i="3"/>
  <c r="I181" i="3"/>
  <c r="J181" i="3"/>
  <c r="K181" i="3"/>
  <c r="AD181" i="3"/>
  <c r="C5" i="3"/>
  <c r="C13" i="3"/>
  <c r="C21" i="3"/>
  <c r="C29" i="3"/>
  <c r="C37" i="3"/>
  <c r="C45" i="3"/>
  <c r="C53" i="3"/>
  <c r="C61" i="3"/>
  <c r="C69" i="3"/>
  <c r="C77" i="3"/>
  <c r="C85" i="3"/>
  <c r="C93" i="3"/>
  <c r="C101" i="3"/>
  <c r="C109" i="3"/>
  <c r="C117" i="3"/>
  <c r="C125" i="3"/>
  <c r="C133" i="3"/>
  <c r="C141" i="3"/>
  <c r="C149" i="3"/>
  <c r="C157" i="3"/>
  <c r="C165" i="3"/>
  <c r="C173" i="3"/>
  <c r="C181" i="3"/>
  <c r="I6" i="3"/>
  <c r="J6" i="3"/>
  <c r="K6" i="3"/>
  <c r="AD6" i="3"/>
  <c r="I14" i="3"/>
  <c r="J14" i="3"/>
  <c r="K14" i="3"/>
  <c r="AD14" i="3"/>
  <c r="I22" i="3"/>
  <c r="J22" i="3"/>
  <c r="K22" i="3"/>
  <c r="AD22" i="3"/>
  <c r="I30" i="3"/>
  <c r="J30" i="3"/>
  <c r="K30" i="3"/>
  <c r="I38" i="3"/>
  <c r="J38" i="3"/>
  <c r="K38" i="3"/>
  <c r="I46" i="3"/>
  <c r="J46" i="3"/>
  <c r="K46" i="3"/>
  <c r="I54" i="3"/>
  <c r="J54" i="3"/>
  <c r="K54" i="3"/>
  <c r="I62" i="3"/>
  <c r="J62" i="3"/>
  <c r="K62" i="3"/>
  <c r="I70" i="3"/>
  <c r="J70" i="3"/>
  <c r="I78" i="3"/>
  <c r="J78" i="3"/>
  <c r="I86" i="3"/>
  <c r="J86" i="3"/>
  <c r="I94" i="3"/>
  <c r="J94" i="3"/>
  <c r="I102" i="3"/>
  <c r="J102" i="3"/>
  <c r="K102" i="3"/>
  <c r="I110" i="3"/>
  <c r="J110" i="3"/>
  <c r="K110" i="3"/>
  <c r="I118" i="3"/>
  <c r="J118" i="3"/>
  <c r="K118" i="3"/>
  <c r="I126" i="3"/>
  <c r="I134" i="3"/>
  <c r="I142" i="3"/>
  <c r="J142" i="3"/>
  <c r="K142" i="3"/>
  <c r="AD142" i="3"/>
  <c r="I150" i="3"/>
  <c r="J150" i="3"/>
  <c r="K150" i="3"/>
  <c r="AD150" i="3"/>
  <c r="I158" i="3"/>
  <c r="J158" i="3"/>
  <c r="I166" i="3"/>
  <c r="J166" i="3"/>
  <c r="K166" i="3"/>
  <c r="I174" i="3"/>
  <c r="J174" i="3"/>
  <c r="K174" i="3"/>
  <c r="AD174" i="3"/>
  <c r="I182" i="3"/>
  <c r="J182" i="3"/>
  <c r="K182" i="3"/>
  <c r="AD182" i="3"/>
  <c r="C6" i="3"/>
  <c r="C14" i="3"/>
  <c r="C22" i="3"/>
  <c r="C30" i="3"/>
  <c r="C38" i="3"/>
  <c r="C46" i="3"/>
  <c r="C54" i="3"/>
  <c r="C62" i="3"/>
  <c r="C70" i="3"/>
  <c r="C78" i="3"/>
  <c r="C86" i="3"/>
  <c r="C94" i="3"/>
  <c r="C102" i="3"/>
  <c r="C110" i="3"/>
  <c r="C118" i="3"/>
  <c r="C126" i="3"/>
  <c r="C134" i="3"/>
  <c r="C142" i="3"/>
  <c r="C150" i="3"/>
  <c r="C158" i="3"/>
  <c r="C166" i="3"/>
  <c r="C174" i="3"/>
  <c r="C182" i="3"/>
  <c r="I7" i="3"/>
  <c r="J7" i="3"/>
  <c r="K7" i="3"/>
  <c r="AD7" i="3"/>
  <c r="I15" i="3"/>
  <c r="J15" i="3"/>
  <c r="K15" i="3"/>
  <c r="AD15" i="3"/>
  <c r="I23" i="3"/>
  <c r="J23" i="3"/>
  <c r="K23" i="3"/>
  <c r="AD23" i="3"/>
  <c r="I31" i="3"/>
  <c r="J31" i="3"/>
  <c r="K31" i="3"/>
  <c r="I39" i="3"/>
  <c r="J39" i="3"/>
  <c r="K39" i="3"/>
  <c r="I47" i="3"/>
  <c r="J47" i="3"/>
  <c r="K47" i="3"/>
  <c r="I55" i="3"/>
  <c r="J55" i="3"/>
  <c r="K55" i="3"/>
  <c r="I63" i="3"/>
  <c r="J63" i="3"/>
  <c r="K63" i="3"/>
  <c r="I71" i="3"/>
  <c r="J71" i="3"/>
  <c r="I79" i="3"/>
  <c r="J79" i="3"/>
  <c r="I87" i="3"/>
  <c r="J87" i="3"/>
  <c r="I95" i="3"/>
  <c r="J95" i="3"/>
  <c r="I103" i="3"/>
  <c r="J103" i="3"/>
  <c r="K103" i="3"/>
  <c r="I111" i="3"/>
  <c r="J111" i="3"/>
  <c r="K111" i="3"/>
  <c r="I119" i="3"/>
  <c r="J119" i="3"/>
  <c r="K119" i="3"/>
  <c r="I127" i="3"/>
  <c r="I135" i="3"/>
  <c r="I143" i="3"/>
  <c r="J143" i="3"/>
  <c r="K143" i="3"/>
  <c r="AD143" i="3"/>
  <c r="I151" i="3"/>
  <c r="J151" i="3"/>
  <c r="K151" i="3"/>
  <c r="AD151" i="3"/>
  <c r="I159" i="3"/>
  <c r="J159" i="3"/>
  <c r="K159" i="3"/>
  <c r="AD159" i="3"/>
  <c r="I167" i="3"/>
  <c r="J167" i="3"/>
  <c r="K167" i="3"/>
  <c r="I175" i="3"/>
  <c r="J175" i="3"/>
  <c r="K175" i="3"/>
  <c r="AD175" i="3"/>
  <c r="I183" i="3"/>
  <c r="J183" i="3"/>
  <c r="K183" i="3"/>
  <c r="AD183" i="3"/>
  <c r="C7" i="3"/>
  <c r="C15" i="3"/>
  <c r="C23" i="3"/>
  <c r="C31" i="3"/>
  <c r="C39" i="3"/>
  <c r="C47" i="3"/>
  <c r="C55" i="3"/>
  <c r="C63" i="3"/>
  <c r="C71" i="3"/>
  <c r="C79" i="3"/>
  <c r="C87" i="3"/>
  <c r="C95" i="3"/>
  <c r="C103" i="3"/>
  <c r="C111" i="3"/>
  <c r="C119" i="3"/>
  <c r="C127" i="3"/>
  <c r="C135" i="3"/>
  <c r="C143" i="3"/>
  <c r="C151" i="3"/>
  <c r="C159" i="3"/>
  <c r="C167" i="3"/>
  <c r="C175" i="3"/>
  <c r="C183" i="3"/>
  <c r="I8" i="3"/>
  <c r="J8" i="3"/>
  <c r="K8" i="3"/>
  <c r="AD8" i="3"/>
  <c r="I16" i="3"/>
  <c r="J16" i="3"/>
  <c r="K16" i="3"/>
  <c r="AD16" i="3"/>
  <c r="I24" i="3"/>
  <c r="J24" i="3"/>
  <c r="K24" i="3"/>
  <c r="AD24" i="3"/>
  <c r="I32" i="3"/>
  <c r="J32" i="3"/>
  <c r="K32" i="3"/>
  <c r="I40" i="3"/>
  <c r="J40" i="3"/>
  <c r="K40" i="3"/>
  <c r="I48" i="3"/>
  <c r="J48" i="3"/>
  <c r="K48" i="3"/>
  <c r="I56" i="3"/>
  <c r="J56" i="3"/>
  <c r="K56" i="3"/>
  <c r="I64" i="3"/>
  <c r="J64" i="3"/>
  <c r="K64" i="3"/>
  <c r="I72" i="3"/>
  <c r="J72" i="3"/>
  <c r="I80" i="3"/>
  <c r="J80" i="3"/>
  <c r="I88" i="3"/>
  <c r="J88" i="3"/>
  <c r="I96" i="3"/>
  <c r="J96" i="3"/>
  <c r="I104" i="3"/>
  <c r="J104" i="3"/>
  <c r="K104" i="3"/>
  <c r="I112" i="3"/>
  <c r="J112" i="3"/>
  <c r="K112" i="3"/>
  <c r="I120" i="3"/>
  <c r="J120" i="3"/>
  <c r="K120" i="3"/>
  <c r="I128" i="3"/>
  <c r="I136" i="3"/>
  <c r="I144" i="3"/>
  <c r="J144" i="3"/>
  <c r="K144" i="3"/>
  <c r="AD144" i="3"/>
  <c r="I152" i="3"/>
  <c r="J152" i="3"/>
  <c r="K152" i="3"/>
  <c r="AD152" i="3"/>
  <c r="I160" i="3"/>
  <c r="J160" i="3"/>
  <c r="K160" i="3"/>
  <c r="AD160" i="3"/>
  <c r="I168" i="3"/>
  <c r="J168" i="3"/>
  <c r="K168" i="3"/>
  <c r="I176" i="3"/>
  <c r="J176" i="3"/>
  <c r="K176" i="3"/>
  <c r="AD176" i="3"/>
  <c r="C8" i="3"/>
  <c r="C16" i="3"/>
  <c r="C24" i="3"/>
  <c r="C32" i="3"/>
  <c r="C40" i="3"/>
  <c r="C48" i="3"/>
  <c r="C56" i="3"/>
  <c r="C64" i="3"/>
  <c r="C72" i="3"/>
  <c r="C80" i="3"/>
  <c r="C88" i="3"/>
  <c r="C96" i="3"/>
  <c r="C104" i="3"/>
  <c r="C112" i="3"/>
  <c r="C120" i="3"/>
  <c r="C128" i="3"/>
  <c r="C136" i="3"/>
  <c r="C144" i="3"/>
  <c r="C152" i="3"/>
  <c r="C160" i="3"/>
  <c r="C168" i="3"/>
  <c r="C176" i="3"/>
  <c r="I9" i="3"/>
  <c r="J9" i="3"/>
  <c r="K9" i="3"/>
  <c r="AD9" i="3"/>
  <c r="I17" i="3"/>
  <c r="J17" i="3"/>
  <c r="K17" i="3"/>
  <c r="AD17" i="3"/>
  <c r="I25" i="3"/>
  <c r="J25" i="3"/>
  <c r="K25" i="3"/>
  <c r="AD25" i="3"/>
  <c r="I33" i="3"/>
  <c r="J33" i="3"/>
  <c r="K33" i="3"/>
  <c r="I41" i="3"/>
  <c r="J41" i="3"/>
  <c r="K41" i="3"/>
  <c r="I49" i="3"/>
  <c r="J49" i="3"/>
  <c r="K49" i="3"/>
  <c r="I57" i="3"/>
  <c r="J57" i="3"/>
  <c r="K57" i="3"/>
  <c r="I65" i="3"/>
  <c r="J65" i="3"/>
  <c r="K65" i="3"/>
  <c r="I73" i="3"/>
  <c r="J73" i="3"/>
  <c r="I81" i="3"/>
  <c r="J81" i="3"/>
  <c r="I89" i="3"/>
  <c r="J89" i="3"/>
  <c r="I97" i="3"/>
  <c r="J97" i="3"/>
  <c r="I105" i="3"/>
  <c r="J105" i="3"/>
  <c r="K105" i="3"/>
  <c r="I113" i="3"/>
  <c r="J113" i="3"/>
  <c r="K113" i="3"/>
  <c r="I121" i="3"/>
  <c r="J121" i="3"/>
  <c r="K121" i="3"/>
  <c r="I129" i="3"/>
  <c r="I137" i="3"/>
  <c r="I145" i="3"/>
  <c r="J145" i="3"/>
  <c r="K145" i="3"/>
  <c r="AD145" i="3"/>
  <c r="I153" i="3"/>
  <c r="J153" i="3"/>
  <c r="K153" i="3"/>
  <c r="AD153" i="3"/>
  <c r="I161" i="3"/>
  <c r="J161" i="3"/>
  <c r="K161" i="3"/>
  <c r="AD161" i="3"/>
  <c r="I169" i="3"/>
  <c r="J169" i="3"/>
  <c r="K169" i="3"/>
  <c r="I177" i="3"/>
  <c r="J177" i="3"/>
  <c r="K177" i="3"/>
  <c r="AD177" i="3"/>
  <c r="C9" i="3"/>
  <c r="C17" i="3"/>
  <c r="C25" i="3"/>
  <c r="C33" i="3"/>
  <c r="C41" i="3"/>
  <c r="C49" i="3"/>
  <c r="C57" i="3"/>
  <c r="C65" i="3"/>
  <c r="C73" i="3"/>
  <c r="C81" i="3"/>
  <c r="C89" i="3"/>
  <c r="C97" i="3"/>
  <c r="C105" i="3"/>
  <c r="C113" i="3"/>
  <c r="C121" i="3"/>
  <c r="C129" i="3"/>
  <c r="C137" i="3"/>
  <c r="C145" i="3"/>
  <c r="C153" i="3"/>
  <c r="C161" i="3"/>
  <c r="C169" i="3"/>
  <c r="C177" i="3"/>
  <c r="C2" i="3"/>
  <c r="I10" i="3"/>
  <c r="J10" i="3"/>
  <c r="K10" i="3"/>
  <c r="AD10" i="3"/>
  <c r="I18" i="3"/>
  <c r="J18" i="3"/>
  <c r="K18" i="3"/>
  <c r="AD18" i="3"/>
  <c r="I26" i="3"/>
  <c r="J26" i="3"/>
  <c r="K26" i="3"/>
  <c r="AD26" i="3"/>
  <c r="I34" i="3"/>
  <c r="J34" i="3"/>
  <c r="K34" i="3"/>
  <c r="I42" i="3"/>
  <c r="J42" i="3"/>
  <c r="K42" i="3"/>
  <c r="I50" i="3"/>
  <c r="J50" i="3"/>
  <c r="K50" i="3"/>
  <c r="I58" i="3"/>
  <c r="J58" i="3"/>
  <c r="K58" i="3"/>
  <c r="I66" i="3"/>
  <c r="J66" i="3"/>
  <c r="K66" i="3"/>
  <c r="I74" i="3"/>
  <c r="J74" i="3"/>
  <c r="I82" i="3"/>
  <c r="J82" i="3"/>
  <c r="I90" i="3"/>
  <c r="J90" i="3"/>
  <c r="I98" i="3"/>
  <c r="J98" i="3"/>
  <c r="I106" i="3"/>
  <c r="J106" i="3"/>
  <c r="K106" i="3"/>
  <c r="I114" i="3"/>
  <c r="J114" i="3"/>
  <c r="K114" i="3"/>
  <c r="I122" i="3"/>
  <c r="J122" i="3"/>
  <c r="K122" i="3"/>
  <c r="I130" i="3"/>
  <c r="I138" i="3"/>
  <c r="I146" i="3"/>
  <c r="J146" i="3"/>
  <c r="K146" i="3"/>
  <c r="AD146" i="3"/>
  <c r="I154" i="3"/>
  <c r="J154" i="3"/>
  <c r="K154" i="3"/>
  <c r="AD154" i="3"/>
  <c r="I162" i="3"/>
  <c r="J162" i="3"/>
  <c r="K162" i="3"/>
  <c r="AD162" i="3"/>
  <c r="I170" i="3"/>
  <c r="J170" i="3"/>
  <c r="K170" i="3"/>
  <c r="I178" i="3"/>
  <c r="J178" i="3"/>
  <c r="K178" i="3"/>
  <c r="AD178" i="3"/>
  <c r="C10" i="3"/>
  <c r="C18" i="3"/>
  <c r="C26" i="3"/>
  <c r="C34" i="3"/>
  <c r="C42" i="3"/>
  <c r="C50" i="3"/>
  <c r="C58" i="3"/>
  <c r="C66" i="3"/>
  <c r="C74" i="3"/>
  <c r="C82" i="3"/>
  <c r="C90" i="3"/>
  <c r="C98" i="3"/>
  <c r="C106" i="3"/>
  <c r="C114" i="3"/>
  <c r="C122" i="3"/>
  <c r="C130" i="3"/>
  <c r="C138" i="3"/>
  <c r="C146" i="3"/>
  <c r="C154" i="3"/>
  <c r="C162" i="3"/>
  <c r="C170" i="3"/>
  <c r="C178" i="3"/>
  <c r="I3" i="3"/>
  <c r="J3" i="3"/>
  <c r="K3" i="3"/>
  <c r="AD3" i="3"/>
  <c r="I11" i="3"/>
  <c r="J11" i="3"/>
  <c r="K11" i="3"/>
  <c r="AD11" i="3"/>
  <c r="I19" i="3"/>
  <c r="J19" i="3"/>
  <c r="K19" i="3"/>
  <c r="AD19" i="3"/>
  <c r="I27" i="3"/>
  <c r="J27" i="3"/>
  <c r="K27" i="3"/>
  <c r="AD27" i="3"/>
  <c r="I35" i="3"/>
  <c r="J35" i="3"/>
  <c r="K35" i="3"/>
  <c r="I43" i="3"/>
  <c r="J43" i="3"/>
  <c r="K43" i="3"/>
  <c r="I51" i="3"/>
  <c r="J51" i="3"/>
  <c r="K51" i="3"/>
  <c r="I59" i="3"/>
  <c r="J59" i="3"/>
  <c r="K59" i="3"/>
  <c r="I67" i="3"/>
  <c r="J67" i="3"/>
  <c r="K67" i="3"/>
  <c r="I75" i="3"/>
  <c r="J75" i="3"/>
  <c r="I83" i="3"/>
  <c r="J83" i="3"/>
  <c r="I91" i="3"/>
  <c r="J91" i="3"/>
  <c r="I99" i="3"/>
  <c r="J99" i="3"/>
  <c r="I107" i="3"/>
  <c r="J107" i="3"/>
  <c r="K107" i="3"/>
  <c r="I115" i="3"/>
  <c r="J115" i="3"/>
  <c r="K115" i="3"/>
  <c r="I123" i="3"/>
  <c r="J123" i="3"/>
  <c r="K123" i="3"/>
  <c r="I131" i="3"/>
  <c r="I139" i="3"/>
  <c r="J139" i="3"/>
  <c r="K139" i="3"/>
  <c r="AD139" i="3"/>
  <c r="I147" i="3"/>
  <c r="J147" i="3"/>
  <c r="K147" i="3"/>
  <c r="AD147" i="3"/>
  <c r="I155" i="3"/>
  <c r="J155" i="3"/>
  <c r="K155" i="3"/>
  <c r="AD155" i="3"/>
  <c r="I163" i="3"/>
  <c r="J163" i="3"/>
  <c r="K163" i="3"/>
  <c r="I171" i="3"/>
  <c r="J171" i="3"/>
  <c r="K171" i="3"/>
  <c r="I179" i="3"/>
  <c r="J179" i="3"/>
  <c r="K179" i="3"/>
  <c r="AD179" i="3"/>
  <c r="I2" i="3"/>
  <c r="J2" i="3"/>
  <c r="K2" i="3"/>
  <c r="AD2" i="3"/>
  <c r="J156" i="3"/>
  <c r="K156" i="3"/>
  <c r="AD156" i="3"/>
  <c r="J149" i="3"/>
  <c r="K149" i="3"/>
  <c r="AD149" i="3"/>
  <c r="AB102" i="3"/>
  <c r="AD102" i="3"/>
  <c r="AB117" i="3"/>
  <c r="AD117" i="3"/>
  <c r="AB107" i="3"/>
  <c r="AD107" i="3"/>
  <c r="AB43" i="3"/>
  <c r="AD43" i="3"/>
  <c r="AB66" i="3"/>
  <c r="AD66" i="3"/>
  <c r="AB32" i="3"/>
  <c r="AD32" i="3"/>
  <c r="AB65" i="3"/>
  <c r="AD65" i="3"/>
  <c r="AB109" i="3"/>
  <c r="AD109" i="3"/>
  <c r="AB58" i="3"/>
  <c r="AD58" i="3"/>
  <c r="AB57" i="3"/>
  <c r="AD57" i="3"/>
  <c r="AB101" i="3"/>
  <c r="AD101" i="3"/>
  <c r="AB37" i="3"/>
  <c r="AD37" i="3"/>
  <c r="AB114" i="3"/>
  <c r="AD114" i="3"/>
  <c r="AB50" i="3"/>
  <c r="AD50" i="3"/>
  <c r="AB113" i="3"/>
  <c r="AD113" i="3"/>
  <c r="AB49" i="3"/>
  <c r="AD49" i="3"/>
  <c r="AB119" i="3"/>
  <c r="AD119" i="3"/>
  <c r="AB112" i="3"/>
  <c r="AD112" i="3"/>
  <c r="AB116" i="3"/>
  <c r="AD116" i="3"/>
  <c r="AB104" i="3"/>
  <c r="AD104" i="3"/>
  <c r="AB106" i="3"/>
  <c r="AD106" i="3"/>
  <c r="AB42" i="3"/>
  <c r="AD42" i="3"/>
  <c r="AB105" i="3"/>
  <c r="AD105" i="3"/>
  <c r="AB41" i="3"/>
  <c r="AD41" i="3"/>
  <c r="AB111" i="3"/>
  <c r="AD111" i="3"/>
  <c r="AB108" i="3"/>
  <c r="AD108" i="3"/>
  <c r="AB34" i="3"/>
  <c r="AD34" i="3"/>
  <c r="AB33" i="3"/>
  <c r="AD33" i="3"/>
  <c r="AB103" i="3"/>
  <c r="AD103" i="3"/>
  <c r="AB67" i="3"/>
  <c r="AD67" i="3"/>
  <c r="AB118" i="3"/>
  <c r="AD118" i="3"/>
  <c r="AB59" i="3"/>
  <c r="AD59" i="3"/>
  <c r="AB110" i="3"/>
  <c r="AD110" i="3"/>
  <c r="AB115" i="3"/>
  <c r="AD115" i="3"/>
  <c r="AB51" i="3"/>
  <c r="AD51" i="3"/>
  <c r="K158" i="3"/>
  <c r="AD158" i="3"/>
  <c r="AB163" i="3"/>
  <c r="AD163" i="3"/>
  <c r="AB164" i="3"/>
  <c r="AD164" i="3"/>
  <c r="AB167" i="3"/>
  <c r="AD167" i="3"/>
  <c r="AB166" i="3"/>
  <c r="AD166" i="3"/>
  <c r="AB165" i="3"/>
  <c r="AD165" i="3"/>
  <c r="AB170" i="3"/>
  <c r="AD170" i="3"/>
  <c r="AB171" i="3"/>
  <c r="AD171" i="3"/>
  <c r="AB168" i="3"/>
  <c r="AD168" i="3"/>
  <c r="AB169" i="3"/>
  <c r="AD169" i="3"/>
  <c r="AB123" i="3"/>
  <c r="AD123" i="3"/>
  <c r="AB124" i="3"/>
  <c r="AD124" i="3"/>
  <c r="AB122" i="3"/>
  <c r="AD122" i="3"/>
  <c r="AB125" i="3"/>
  <c r="AD125" i="3"/>
  <c r="AB120" i="3"/>
  <c r="AD120" i="3"/>
  <c r="AB121" i="3"/>
  <c r="AD121" i="3"/>
  <c r="J132" i="3"/>
  <c r="K132" i="3"/>
  <c r="AD132" i="3"/>
  <c r="J130" i="3"/>
  <c r="K130" i="3"/>
  <c r="AD130" i="3"/>
  <c r="J133" i="3"/>
  <c r="K133" i="3"/>
  <c r="AD133" i="3"/>
  <c r="J131" i="3"/>
  <c r="K131" i="3"/>
  <c r="AD131" i="3"/>
  <c r="J137" i="3"/>
  <c r="K137" i="3"/>
  <c r="AD137" i="3"/>
  <c r="J136" i="3"/>
  <c r="K136" i="3"/>
  <c r="AD136" i="3"/>
  <c r="J135" i="3"/>
  <c r="K135" i="3"/>
  <c r="AD135" i="3"/>
  <c r="J134" i="3"/>
  <c r="K134" i="3"/>
  <c r="AD134" i="3"/>
  <c r="J138" i="3"/>
  <c r="K138" i="3"/>
  <c r="AD138" i="3"/>
  <c r="J126" i="3"/>
  <c r="K126" i="3"/>
  <c r="J127" i="3"/>
  <c r="K127" i="3"/>
  <c r="J128" i="3"/>
  <c r="K128" i="3"/>
  <c r="J129" i="3"/>
  <c r="K129" i="3"/>
  <c r="AB38" i="3"/>
  <c r="AD38" i="3"/>
  <c r="AB35" i="3"/>
  <c r="AD35" i="3"/>
  <c r="AB64" i="3"/>
  <c r="AD64" i="3"/>
  <c r="AB56" i="3"/>
  <c r="AD56" i="3"/>
  <c r="AB69" i="3"/>
  <c r="AD69" i="3"/>
  <c r="AB68" i="3"/>
  <c r="AD68" i="3"/>
  <c r="AB48" i="3"/>
  <c r="AD48" i="3"/>
  <c r="AB63" i="3"/>
  <c r="AD63" i="3"/>
  <c r="AB62" i="3"/>
  <c r="AD62" i="3"/>
  <c r="AB61" i="3"/>
  <c r="AD61" i="3"/>
  <c r="AB60" i="3"/>
  <c r="AD60" i="3"/>
  <c r="AB40" i="3"/>
  <c r="AD40" i="3"/>
  <c r="AB55" i="3"/>
  <c r="AD55" i="3"/>
  <c r="AB54" i="3"/>
  <c r="AD54" i="3"/>
  <c r="AB53" i="3"/>
  <c r="AD53" i="3"/>
  <c r="AB52" i="3"/>
  <c r="AD52" i="3"/>
  <c r="AB31" i="3"/>
  <c r="AD31" i="3"/>
  <c r="AB47" i="3"/>
  <c r="AD47" i="3"/>
  <c r="AB46" i="3"/>
  <c r="AD46" i="3"/>
  <c r="AB45" i="3"/>
  <c r="AD45" i="3"/>
  <c r="AB44" i="3"/>
  <c r="AD44" i="3"/>
  <c r="AB39" i="3"/>
  <c r="AD39" i="3"/>
  <c r="AB36" i="3"/>
  <c r="AD36" i="3"/>
  <c r="AB30" i="3"/>
  <c r="AD30" i="3"/>
  <c r="AB29" i="3"/>
  <c r="AD29" i="3"/>
  <c r="AB28" i="3"/>
  <c r="AD28" i="3"/>
  <c r="AB129" i="3"/>
  <c r="AD129" i="3"/>
  <c r="AB128" i="3"/>
  <c r="AD128" i="3"/>
  <c r="AB127" i="3"/>
  <c r="AD127" i="3"/>
  <c r="AB126" i="3"/>
  <c r="AD12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Louis Le</author>
  </authors>
  <commentList>
    <comment ref="I7" authorId="0" shapeId="0" xr:uid="{E7C3E42D-6008-9642-90A5-4E32A99B96A1}">
      <text>
        <r>
          <rPr>
            <b/>
            <sz val="10"/>
            <color rgb="FF000000"/>
            <rFont val="Tahoma"/>
            <family val="2"/>
          </rPr>
          <t>Louis Le: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kích thước (Rộng x Dài x Cao - cm)</t>
        </r>
      </text>
    </comment>
    <comment ref="J7" authorId="0" shapeId="0" xr:uid="{DB37BB3E-26F8-4ABF-8F08-528C29332765}">
      <text>
        <r>
          <rPr>
            <b/>
            <sz val="10"/>
            <color rgb="FF000000"/>
            <rFont val="Tahoma"/>
            <family val="2"/>
          </rPr>
          <t>Louis Le: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kích thước (Rộng x Dài x Cao - cm)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133" authorId="0" shapeId="0" xr:uid="{CF9A081F-BCFB-45E1-9CB4-7DF9C1347E7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<sst xmlns="http://schemas.openxmlformats.org/spreadsheetml/2006/main" count="2339" uniqueCount="362">
  <si>
    <t>Category</t>
  </si>
  <si>
    <t>SKU</t>
  </si>
  <si>
    <t>Tên Sản Phẩm &amp; kích thước (Cao x Rộng x Dài - cm)</t>
  </si>
  <si>
    <t>Min. Order</t>
  </si>
  <si>
    <t>Leadtime</t>
  </si>
  <si>
    <t>ABC Class.</t>
  </si>
  <si>
    <t>MAT001003</t>
  </si>
  <si>
    <t>MAT001005</t>
  </si>
  <si>
    <t>MAT001006</t>
  </si>
  <si>
    <t>MAT001013</t>
  </si>
  <si>
    <t>MAT001014</t>
  </si>
  <si>
    <t>MAT001021</t>
  </si>
  <si>
    <t>MAT001022</t>
  </si>
  <si>
    <t>MAT002003</t>
  </si>
  <si>
    <t>MAT002005</t>
  </si>
  <si>
    <t>MAT002006</t>
  </si>
  <si>
    <t>MAT003003</t>
  </si>
  <si>
    <t>MAT003005</t>
  </si>
  <si>
    <t>MAT003006</t>
  </si>
  <si>
    <t>MAT004003</t>
  </si>
  <si>
    <t>MAT004004</t>
  </si>
  <si>
    <t>MAT004005</t>
  </si>
  <si>
    <t>MAT004006</t>
  </si>
  <si>
    <t>MAT004008</t>
  </si>
  <si>
    <t>MAT005003</t>
  </si>
  <si>
    <t>MAT005004</t>
  </si>
  <si>
    <t>MAT005005</t>
  </si>
  <si>
    <t>MAT005006</t>
  </si>
  <si>
    <t>MAT005008</t>
  </si>
  <si>
    <t>MAT006003</t>
  </si>
  <si>
    <t>MAT006004</t>
  </si>
  <si>
    <t>MAT006005</t>
  </si>
  <si>
    <t>MAT006006</t>
  </si>
  <si>
    <t>MAT006008</t>
  </si>
  <si>
    <t>MAT007003</t>
  </si>
  <si>
    <t>MAT007004</t>
  </si>
  <si>
    <t>MAT007005</t>
  </si>
  <si>
    <t>MAT007006</t>
  </si>
  <si>
    <t>MAT007008</t>
  </si>
  <si>
    <t>PIL001001</t>
  </si>
  <si>
    <t>PIL001002</t>
  </si>
  <si>
    <t>PIL001003</t>
  </si>
  <si>
    <t>PIL001004</t>
  </si>
  <si>
    <t>PIL002001</t>
  </si>
  <si>
    <t>PIL003001</t>
  </si>
  <si>
    <t>SET001001</t>
  </si>
  <si>
    <t>SET001002</t>
  </si>
  <si>
    <t>SET001003</t>
  </si>
  <si>
    <t>SET002001</t>
  </si>
  <si>
    <t>SET002002</t>
  </si>
  <si>
    <t>SET002003</t>
  </si>
  <si>
    <t>SET002004</t>
  </si>
  <si>
    <t>SET002005</t>
  </si>
  <si>
    <t>SET002006</t>
  </si>
  <si>
    <t>SET003001</t>
  </si>
  <si>
    <t>SET003002</t>
  </si>
  <si>
    <t>SET003003</t>
  </si>
  <si>
    <t>SET003004</t>
  </si>
  <si>
    <t>ACC001003</t>
  </si>
  <si>
    <t>ACC001005</t>
  </si>
  <si>
    <t>ACC001006</t>
  </si>
  <si>
    <t>ACC001011</t>
  </si>
  <si>
    <t>ACC001013</t>
  </si>
  <si>
    <t>ACC001014</t>
  </si>
  <si>
    <t>ACC001019</t>
  </si>
  <si>
    <t>ACC001021</t>
  </si>
  <si>
    <t>ACC001022</t>
  </si>
  <si>
    <t>BLA001001</t>
  </si>
  <si>
    <t>BLA001002</t>
  </si>
  <si>
    <t>BLA001003</t>
  </si>
  <si>
    <t>BLA001004</t>
  </si>
  <si>
    <t>BLA001005</t>
  </si>
  <si>
    <t>BLA001006</t>
  </si>
  <si>
    <t>BLA001007</t>
  </si>
  <si>
    <t>BLA001008</t>
  </si>
  <si>
    <t>BLA001009</t>
  </si>
  <si>
    <t>BLA001010</t>
  </si>
  <si>
    <t>BLA001011</t>
  </si>
  <si>
    <t>BLA002001</t>
  </si>
  <si>
    <t>BLA002002</t>
  </si>
  <si>
    <t>BLA002003</t>
  </si>
  <si>
    <t>BLA002004</t>
  </si>
  <si>
    <t>BLA002005</t>
  </si>
  <si>
    <t>BLA002006</t>
  </si>
  <si>
    <t>BLA002007</t>
  </si>
  <si>
    <t>BLA002008</t>
  </si>
  <si>
    <t>BLA002009</t>
  </si>
  <si>
    <t>BLA003001</t>
  </si>
  <si>
    <t>BLA003002</t>
  </si>
  <si>
    <t>Cost</t>
  </si>
  <si>
    <t>MOQ</t>
  </si>
  <si>
    <t>SUPPLIER MANAGEMENT 2025</t>
  </si>
  <si>
    <t xml:space="preserve">Date: </t>
  </si>
  <si>
    <t>NHÓM SẢN PHẨM</t>
  </si>
  <si>
    <t>Stt</t>
  </si>
  <si>
    <r>
      <t xml:space="preserve">Supplier Name
</t>
    </r>
    <r>
      <rPr>
        <i/>
        <sz val="12"/>
        <color theme="1"/>
        <rFont val="Calibri"/>
        <family val="2"/>
      </rPr>
      <t>(Tên nhà cung cấp)</t>
    </r>
  </si>
  <si>
    <r>
      <t xml:space="preserve">Supplier Code
</t>
    </r>
    <r>
      <rPr>
        <i/>
        <sz val="12"/>
        <color theme="1"/>
        <rFont val="Calibri"/>
        <family val="2"/>
      </rPr>
      <t>(Mã nhà cung cấp)</t>
    </r>
  </si>
  <si>
    <r>
      <t>Lead time (days)</t>
    </r>
    <r>
      <rPr>
        <i/>
        <sz val="12"/>
        <color theme="1"/>
        <rFont val="Calibri"/>
        <family val="2"/>
      </rPr>
      <t xml:space="preserve">
(Thời gian giao hàng)</t>
    </r>
  </si>
  <si>
    <r>
      <t xml:space="preserve">Payment Terms
</t>
    </r>
    <r>
      <rPr>
        <i/>
        <sz val="12"/>
        <color theme="1"/>
        <rFont val="Calibri"/>
        <family val="2"/>
      </rPr>
      <t>(Phương thức thanh toán)</t>
    </r>
  </si>
  <si>
    <r>
      <t xml:space="preserve">Delivery Terms
</t>
    </r>
    <r>
      <rPr>
        <i/>
        <sz val="12"/>
        <color theme="1"/>
        <rFont val="Calibri"/>
        <family val="2"/>
      </rPr>
      <t>(Giao hàng)</t>
    </r>
  </si>
  <si>
    <r>
      <t xml:space="preserve">Location
</t>
    </r>
    <r>
      <rPr>
        <i/>
        <sz val="12"/>
        <color theme="1"/>
        <rFont val="Calibri"/>
        <family val="2"/>
      </rPr>
      <t>(Địa điểm)</t>
    </r>
  </si>
  <si>
    <r>
      <t xml:space="preserve">Key Strengths
</t>
    </r>
    <r>
      <rPr>
        <i/>
        <sz val="12"/>
        <color theme="1"/>
        <rFont val="Calibri"/>
        <family val="2"/>
      </rPr>
      <t>(Ưu điểm)</t>
    </r>
  </si>
  <si>
    <t>Supply Score</t>
  </si>
  <si>
    <t>Mattress</t>
  </si>
  <si>
    <t>Gối</t>
  </si>
  <si>
    <t>Bộ chăn ga</t>
  </si>
  <si>
    <t>Chăn</t>
  </si>
  <si>
    <t>HUY HOÀNG NAM</t>
  </si>
  <si>
    <t>SUVN0001</t>
  </si>
  <si>
    <t>Nội địa</t>
  </si>
  <si>
    <t>x</t>
  </si>
  <si>
    <t>HAPPYTOWN SLEEPTECH</t>
  </si>
  <si>
    <t>SUVN0002</t>
  </si>
  <si>
    <t>15-20</t>
  </si>
  <si>
    <t>EVERHOME</t>
  </si>
  <si>
    <t>SUVN0003</t>
  </si>
  <si>
    <t>TEXNAM</t>
  </si>
  <si>
    <t>SUVN0004</t>
  </si>
  <si>
    <t>AP WOOD</t>
  </si>
  <si>
    <t>SUVN0005</t>
  </si>
  <si>
    <t>POWER X</t>
  </si>
  <si>
    <t>SUCN0001</t>
  </si>
  <si>
    <t>Quốc tế</t>
  </si>
  <si>
    <t>MASTER LIST PRODUCT CODE</t>
  </si>
  <si>
    <t>Date update:</t>
  </si>
  <si>
    <t>Tỷ giá usd</t>
  </si>
  <si>
    <t>vnd</t>
  </si>
  <si>
    <t>Revision:</t>
  </si>
  <si>
    <t>Cập nhật lại code của nhóm phụ kiện</t>
  </si>
  <si>
    <t>Ngành hàng</t>
  </si>
  <si>
    <t>Subcategory code</t>
  </si>
  <si>
    <t>Subcategory name</t>
  </si>
  <si>
    <t>Variation code</t>
  </si>
  <si>
    <t>Variation name</t>
  </si>
  <si>
    <t>Brand</t>
  </si>
  <si>
    <t>Vật liệu chính</t>
  </si>
  <si>
    <t>Cao</t>
  </si>
  <si>
    <t>Rộng</t>
  </si>
  <si>
    <t>Dài</t>
  </si>
  <si>
    <t>Net weight</t>
  </si>
  <si>
    <t>Gross Weight</t>
  </si>
  <si>
    <t>Đóng gói</t>
  </si>
  <si>
    <t>Packaget Length
(cm)</t>
  </si>
  <si>
    <t>Packaget Width
(cm)</t>
  </si>
  <si>
    <t>Package height
(cm)</t>
  </si>
  <si>
    <t>Màu</t>
  </si>
  <si>
    <t>Unit Cost (usd)</t>
  </si>
  <si>
    <t>Unit Cost (vnd)</t>
  </si>
  <si>
    <t>Sales Price (vnd)</t>
  </si>
  <si>
    <t>MAT</t>
  </si>
  <si>
    <t>Nệm</t>
  </si>
  <si>
    <t>001</t>
  </si>
  <si>
    <t>T&amp;N Foam</t>
  </si>
  <si>
    <t>Roll Carton Box</t>
  </si>
  <si>
    <t>A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</si>
  <si>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</si>
  <si>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</si>
  <si>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</si>
  <si>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</si>
  <si>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</si>
  <si>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</si>
  <si>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</si>
  <si>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</si>
  <si>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</si>
  <si>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</si>
  <si>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</si>
  <si>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</si>
  <si>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</si>
  <si>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</si>
  <si>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</si>
  <si>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</si>
  <si>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</si>
  <si>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</si>
  <si>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</si>
  <si>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</si>
  <si>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</si>
  <si>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</si>
  <si>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</si>
  <si>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Hybrid</t>
  </si>
  <si>
    <t>Hybrid Latex</t>
  </si>
  <si>
    <t>Power X Core</t>
  </si>
  <si>
    <t>Power X Flow</t>
  </si>
  <si>
    <t>Power X Fusion</t>
  </si>
  <si>
    <t>Power X Prime</t>
  </si>
  <si>
    <t>PIL</t>
  </si>
  <si>
    <t>T&amp;N contour (Cứng)</t>
  </si>
  <si>
    <t>8/10</t>
  </si>
  <si>
    <t>10/12</t>
  </si>
  <si>
    <t>T&amp;N contour (Mềm)</t>
  </si>
  <si>
    <t>Power X Ergo</t>
  </si>
  <si>
    <t>Power X Matrix</t>
  </si>
  <si>
    <t>SET</t>
  </si>
  <si>
    <t>Bộ Chăn ga</t>
  </si>
  <si>
    <t>Xơ đũi 4CT (ga phủ, chăn chần)</t>
  </si>
  <si>
    <t>Trái tim</t>
  </si>
  <si>
    <t>Gấu, lá cây</t>
  </si>
  <si>
    <t>Cừu nâu</t>
  </si>
  <si>
    <t>phủ vỏ chăn 4CT</t>
  </si>
  <si>
    <t>Mẫu 1</t>
  </si>
  <si>
    <t>Mẫu 2</t>
  </si>
  <si>
    <t>Mẫu 3</t>
  </si>
  <si>
    <t>Mẫu 4</t>
  </si>
  <si>
    <t>Mẫu 5</t>
  </si>
  <si>
    <t>Mẫu 6</t>
  </si>
  <si>
    <t>chun gấu xanh gấu hồng 3CT</t>
  </si>
  <si>
    <t>Gấu xanh 160 x 200 cm</t>
  </si>
  <si>
    <t>Gấu hồng 160 x 200 cm</t>
  </si>
  <si>
    <t>Gấu xanh 180 x 200 cm</t>
  </si>
  <si>
    <t>Gấu hồng 180 x 200 cm</t>
  </si>
  <si>
    <t>ACC</t>
  </si>
  <si>
    <t>Phụ Kiện</t>
  </si>
  <si>
    <t>Everlife Tấm bảo vệ nệm chống thấm</t>
  </si>
  <si>
    <t>Mẫu 1, 80 x 200 cm</t>
  </si>
  <si>
    <t>Mẫu 1, 100 x 200 cm</t>
  </si>
  <si>
    <t>Mẫu 1, 120 x 200 cm</t>
  </si>
  <si>
    <t>Mẫu 1, 140 x 200 cm</t>
  </si>
  <si>
    <t>Mẫu 1, 160 x 200 cm</t>
  </si>
  <si>
    <t>Mẫu 1, 180 x 200 cm</t>
  </si>
  <si>
    <t>Mẫu 1, 200 x 200 cm</t>
  </si>
  <si>
    <t>Mẫu 1, 200 x 220 cm</t>
  </si>
  <si>
    <t>Mẫu 2, 80 x 200 cm</t>
  </si>
  <si>
    <t>Mẫu 2, 100 x 200 cm</t>
  </si>
  <si>
    <t>Mẫu 2, 120 x 200 cm</t>
  </si>
  <si>
    <t>Mẫu 2, 140 x 200 cm</t>
  </si>
  <si>
    <t>Mẫu 2, 160 x 200 cm</t>
  </si>
  <si>
    <t>Mẫu 2, 180 x 200 cm</t>
  </si>
  <si>
    <t>Mẫu 2, 200 x 200 cm</t>
  </si>
  <si>
    <t>Mẫu 2, 200 x 220 cm</t>
  </si>
  <si>
    <t>Mẫu 3, 80 x 200 cm</t>
  </si>
  <si>
    <t>Mẫu 3, 100 x 200 cm</t>
  </si>
  <si>
    <t>Mẫu 3, 120 x 200 cm</t>
  </si>
  <si>
    <t>Mẫu 3, 140 x 200 cm</t>
  </si>
  <si>
    <t>Mẫu 3, 160 x 200 cm</t>
  </si>
  <si>
    <t>Mẫu 3, 180 x 200 cm</t>
  </si>
  <si>
    <t>Mẫu 3, 200 x 200 cm</t>
  </si>
  <si>
    <t>Mẫu 3, 200 x 220 cm</t>
  </si>
  <si>
    <t>BLA</t>
  </si>
  <si>
    <t>Xanh dương pastel 200 x 230 cm, Vải cooling mát lạnh</t>
  </si>
  <si>
    <t>Xám pastel 200 x 230 cm, Vải cooling mát lạnh</t>
  </si>
  <si>
    <t>Tím hoa cà 200 x 230 cm, Vải cooling mát lạnh</t>
  </si>
  <si>
    <t>Xanh lá pastel 200 x 230 cm, Vải cooling mát lạnh</t>
  </si>
  <si>
    <t>Xanh dương xám 200 x 230 cm, Vải cooling mát lạnh</t>
  </si>
  <si>
    <t>Xanh dương pastel 200 x 230 cm, Microfiber mát lạnh</t>
  </si>
  <si>
    <t>Xám pastel 200 x 230 cm, Microfiber mát lạnh</t>
  </si>
  <si>
    <t>Tím hoa cà 200 x 230 cm, Microfiber mát lạnh</t>
  </si>
  <si>
    <t>Xanh lá pastel 200 x 230 cm, Microfiber mát lạnh</t>
  </si>
  <si>
    <t>Xanh dương xám 200 x 230 cm, Microfiber mát lạnh</t>
  </si>
  <si>
    <t>Màu không thuộc phân loại 200 x 230 cm</t>
  </si>
  <si>
    <t>Tencel 60s</t>
  </si>
  <si>
    <t>Xanh dương pastel 200 x 230 cm</t>
  </si>
  <si>
    <t>Hồng pastel 200 x 230 cm</t>
  </si>
  <si>
    <t>Xanh rêu pastel 200 x 230 cm</t>
  </si>
  <si>
    <t>Hồng trắng pastel 200 x 230 cm</t>
  </si>
  <si>
    <t>Xám lông chuột 200 x 230 cm</t>
  </si>
  <si>
    <t>Xám xanh dương 200 x 230 cm</t>
  </si>
  <si>
    <t>Xám trắng 200 x 230 cm</t>
  </si>
  <si>
    <t>Xám xanh lá 200 x 230 cm</t>
  </si>
  <si>
    <t>Màu không phân loại 200 x 230 cm</t>
  </si>
  <si>
    <t>T&amp;N Polyester HQ (chần)</t>
  </si>
  <si>
    <t>Gấu xanh 200 x 230 cm</t>
  </si>
  <si>
    <t>Gấu hồng 200 x 230 cm</t>
  </si>
  <si>
    <t>Yes</t>
  </si>
  <si>
    <t>PO</t>
  </si>
  <si>
    <t>Code</t>
  </si>
  <si>
    <t>Product Description</t>
  </si>
  <si>
    <t>Supplier code</t>
  </si>
  <si>
    <t>Supplier</t>
  </si>
  <si>
    <t>Unit</t>
  </si>
  <si>
    <t>Qty order</t>
  </si>
  <si>
    <t>Qty confirm</t>
  </si>
  <si>
    <t>Total Cost</t>
  </si>
  <si>
    <t>Total Cost
(VAT)</t>
  </si>
  <si>
    <t>Date Request</t>
  </si>
  <si>
    <t>Date Supply confirm</t>
  </si>
  <si>
    <t>Date Receive</t>
  </si>
  <si>
    <t>Month</t>
  </si>
  <si>
    <t>Year</t>
  </si>
  <si>
    <t>Goods receipt status</t>
  </si>
  <si>
    <t>Note</t>
  </si>
  <si>
    <t>Invoice Date</t>
  </si>
  <si>
    <t>Payment Terms</t>
  </si>
  <si>
    <t>Due Date</t>
  </si>
  <si>
    <t>Due Week</t>
  </si>
  <si>
    <t>Due Month</t>
  </si>
  <si>
    <t>Due Year</t>
  </si>
  <si>
    <t>Payment status</t>
  </si>
  <si>
    <t>Days Overdue</t>
  </si>
  <si>
    <t>Paid Amount</t>
  </si>
  <si>
    <t>Outstanding Amount</t>
  </si>
  <si>
    <t>PWX-001</t>
  </si>
  <si>
    <t>Cái</t>
  </si>
  <si>
    <t>Nhập kho</t>
  </si>
  <si>
    <t>HHN-001</t>
  </si>
  <si>
    <t>Bộ</t>
  </si>
  <si>
    <t>HHN-002</t>
  </si>
  <si>
    <t>HHN-003</t>
  </si>
  <si>
    <t>HHN-004</t>
  </si>
  <si>
    <t>HHN-005</t>
  </si>
  <si>
    <t>HHN-006</t>
  </si>
  <si>
    <t>HTS-001</t>
  </si>
  <si>
    <t>HTS-002</t>
  </si>
  <si>
    <t>HTS-003#1</t>
  </si>
  <si>
    <t>HTS-003#2</t>
  </si>
  <si>
    <t>HTS-004</t>
  </si>
  <si>
    <t>EVH-001</t>
  </si>
  <si>
    <t>EVH-002#1</t>
  </si>
  <si>
    <t>EVH-002#2</t>
  </si>
  <si>
    <t>TXN-001</t>
  </si>
  <si>
    <t>APW-001</t>
  </si>
  <si>
    <t>APW-002#1</t>
  </si>
  <si>
    <t>APW-002#2</t>
  </si>
  <si>
    <t>HST-005</t>
  </si>
  <si>
    <t>Tên kho</t>
  </si>
  <si>
    <t>Mã kho</t>
  </si>
  <si>
    <t>Loại kho</t>
  </si>
  <si>
    <t>Địa chỉ</t>
  </si>
  <si>
    <t>Kho bán hàng</t>
  </si>
  <si>
    <t>Kho thuê-ACE HOME</t>
  </si>
  <si>
    <t>Kho lưu trữ</t>
  </si>
  <si>
    <t>Mã sản phẩm</t>
  </si>
  <si>
    <t>T&amp;N Bean (Thun lạnh)</t>
  </si>
  <si>
    <t>T&amp;N Oval (Thun lạnh)</t>
  </si>
  <si>
    <t>9/7</t>
  </si>
  <si>
    <t>12/10</t>
  </si>
  <si>
    <t>T&amp;N Contour (Thun lạnh)</t>
  </si>
  <si>
    <t>8/6</t>
  </si>
  <si>
    <t>11/9</t>
  </si>
  <si>
    <t>Lạnh 3.5</t>
  </si>
  <si>
    <t>Lạnh 4.8</t>
  </si>
  <si>
    <t>M3</t>
  </si>
  <si>
    <t>Carton Box</t>
  </si>
  <si>
    <t>EVH-003</t>
  </si>
  <si>
    <t>Payment Date  </t>
  </si>
  <si>
    <t>Supplier Code</t>
  </si>
  <si>
    <t>ID mã sản phẩm shopee</t>
  </si>
  <si>
    <t>24893009852</t>
  </si>
  <si>
    <t>41804007802</t>
  </si>
  <si>
    <t>43654100667</t>
  </si>
  <si>
    <t>42770983649</t>
  </si>
  <si>
    <t>41970997159</t>
  </si>
  <si>
    <t>43421001984</t>
  </si>
  <si>
    <t>43071003412</t>
  </si>
  <si>
    <t>27781026451</t>
  </si>
  <si>
    <t>41271371866</t>
  </si>
  <si>
    <t>44071363621</t>
  </si>
  <si>
    <t>27423542168</t>
  </si>
  <si>
    <t>26173587570</t>
  </si>
  <si>
    <t>29183296960</t>
  </si>
  <si>
    <t>42956482957</t>
  </si>
  <si>
    <t>29223771581</t>
  </si>
  <si>
    <t>27276322807</t>
  </si>
  <si>
    <t>Giá Vốn (+VAT)</t>
  </si>
  <si>
    <t>WH01</t>
  </si>
  <si>
    <t>WH02</t>
  </si>
  <si>
    <t>WH03</t>
  </si>
  <si>
    <t>Kho Everhome</t>
  </si>
  <si>
    <t>Kho Cửa Hàng D9</t>
  </si>
  <si>
    <t>WH04</t>
  </si>
  <si>
    <t>Kho hàng lỗi</t>
  </si>
  <si>
    <t>Thành phố Hồ Chí Minh Phường Bình Đông Kho 14 kim hằng, số 1 Ba Tơ ( Trịnh Quang Nghị),(VN)</t>
  </si>
  <si>
    <t>Tỉnh Đồng Nai Phường Trấn Biên E97, Đường D 9 Võ Thị Sáu, Phường Trấn Biên, Tỉnh Đồng Nai, Việt Nam,(VN)</t>
  </si>
  <si>
    <t>Thành phố Hà Nội Xã Hòa Lạc Công Ty Cổ Phàn Quốc Tế Everhome, Thôn 1, Xã Hòa Lạc, Thành phố Hà Nội, Việt Nam,(VN)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</si>
</sst>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</numFmts>
  <fonts count="2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i/>
      <sz val="11"/>
      <color theme="0"/>
      <name val="Calibri"/>
      <family val="2"/>
    </font>
    <font>
      <sz val="11"/>
      <color theme="1"/>
      <name val="Calibri"/>
      <family val="2"/>
    </font>
    <font>
      <sz val="10"/>
      <name val="Calibri"/>
      <family val="2"/>
    </font>
    <font>
      <sz val="12"/>
      <color theme="0"/>
      <name val="Aptos Narrow"/>
      <family val="2"/>
      <scheme val="minor"/>
    </font>
    <font>
      <sz val="12"/>
      <color theme="1"/>
      <name val="SVN-Avenir Next"/>
      <family val="2"/>
    </font>
    <font>
      <b/>
      <sz val="20"/>
      <color theme="1"/>
      <name val="Calibri"/>
      <family val="2"/>
    </font>
    <font>
      <sz val="12"/>
      <color theme="1"/>
      <name val="Calibri"/>
      <family val="2"/>
    </font>
    <font>
      <b/>
      <sz val="12"/>
      <color theme="0"/>
      <name val="Aptos Narrow"/>
      <family val="2"/>
      <scheme val="minor"/>
    </font>
    <font>
      <b/>
      <sz val="12"/>
      <color theme="1"/>
      <name val="Calibri"/>
      <family val="2"/>
    </font>
    <font>
      <i/>
      <sz val="12"/>
      <color theme="1"/>
      <name val="Calibri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b/>
      <sz val="36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Aptos Narrow"/>
      <family val="2"/>
      <scheme val="minor"/>
    </font>
    <font>
      <b/>
      <i/>
      <sz val="11"/>
      <color rgb="FFFF0000"/>
      <name val="Calibri"/>
      <family val="2"/>
    </font>
    <font>
      <b/>
      <sz val="11"/>
      <color rgb="FFFF0000"/>
      <name val="Aptos Narrow"/>
      <family val="2"/>
      <scheme val="minor"/>
    </font>
    <font>
      <b/>
      <sz val="10"/>
      <color rgb="FF111827"/>
      <name val="Inter"/>
      <family val="2"/>
    </font>
    <font>
      <sz val="10"/>
      <color rgb="FF111827"/>
      <name val="Inter"/>
      <family val="2"/>
    </font>
    <font>
      <sz val="14"/>
      <color theme="1"/>
      <name val="Times New Roman"/>
      <family val="2"/>
      <charset val="163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AFD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9.9948118533890809E-2"/>
      </left>
      <right style="medium">
        <color indexed="64"/>
      </right>
      <top/>
      <bottom style="thin">
        <color theme="2" tint="-9.9948118533890809E-2"/>
      </bottom>
      <diagonal/>
    </border>
    <border>
      <left style="medium">
        <color auto="1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medium">
        <color indexed="64"/>
      </right>
      <top style="thin">
        <color theme="2" tint="-9.9948118533890809E-2"/>
      </top>
      <bottom style="thin">
        <color theme="2" tint="-9.9948118533890809E-2"/>
      </bottom>
      <diagonal/>
    </border>
    <border>
      <left/>
      <right/>
      <top/>
      <bottom style="medium">
        <color rgb="FFD1D5DB"/>
      </bottom>
      <diagonal/>
    </border>
  </borders>
  <cellStyleXfs count="11">
    <xf numFmtId="0" fontId="0" fillId="0" borderId="0"/>
    <xf numFmtId="16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8" fillId="0" borderId="0"/>
    <xf numFmtId="0" fontId="7" fillId="2" borderId="0" applyNumberFormat="0" applyBorder="0" applyAlignment="0" applyProtection="0"/>
    <xf numFmtId="43" fontId="8" fillId="0" borderId="0" applyFont="0" applyFill="0" applyBorder="0" applyAlignment="0" applyProtection="0"/>
    <xf numFmtId="0" fontId="5" fillId="0" borderId="0"/>
    <xf numFmtId="0" fontId="24" fillId="0" borderId="0"/>
    <xf numFmtId="0" fontId="1" fillId="0" borderId="0"/>
    <xf numFmtId="9" fontId="24" fillId="0" borderId="0" applyFont="0" applyFill="0" applyBorder="0" applyAlignment="0" applyProtection="0"/>
    <xf numFmtId="0" fontId="5" fillId="0" borderId="0"/>
  </cellStyleXfs>
  <cellXfs count="79">
    <xf numFmtId="0" fontId="0" fillId="0" borderId="0" xfId="0"/>
    <xf numFmtId="165" fontId="0" fillId="0" borderId="0" xfId="1" applyNumberFormat="1" applyFont="1"/>
    <xf numFmtId="165" fontId="0" fillId="0" borderId="0" xfId="0" applyNumberFormat="1"/>
    <xf numFmtId="0" fontId="4" fillId="5" borderId="0" xfId="2" applyFont="1" applyFill="1" applyAlignment="1">
      <alignment vertical="center"/>
    </xf>
    <xf numFmtId="0" fontId="9" fillId="0" borderId="0" xfId="3" applyFont="1"/>
    <xf numFmtId="0" fontId="10" fillId="0" borderId="0" xfId="3" applyFont="1"/>
    <xf numFmtId="0" fontId="10" fillId="0" borderId="0" xfId="3" applyFont="1" applyAlignment="1">
      <alignment horizontal="center"/>
    </xf>
    <xf numFmtId="0" fontId="5" fillId="0" borderId="0" xfId="3" applyFont="1"/>
    <xf numFmtId="14" fontId="5" fillId="0" borderId="0" xfId="3" applyNumberFormat="1" applyFont="1"/>
    <xf numFmtId="0" fontId="5" fillId="0" borderId="0" xfId="3" applyFont="1" applyAlignment="1">
      <alignment horizontal="center"/>
    </xf>
    <xf numFmtId="0" fontId="12" fillId="3" borderId="3" xfId="3" applyFont="1" applyFill="1" applyBorder="1" applyAlignment="1">
      <alignment vertical="center"/>
    </xf>
    <xf numFmtId="0" fontId="12" fillId="3" borderId="4" xfId="3" applyFont="1" applyFill="1" applyBorder="1" applyAlignment="1">
      <alignment vertical="center" wrapText="1"/>
    </xf>
    <xf numFmtId="0" fontId="12" fillId="3" borderId="4" xfId="3" applyFont="1" applyFill="1" applyBorder="1" applyAlignment="1">
      <alignment vertical="center"/>
    </xf>
    <xf numFmtId="0" fontId="12" fillId="3" borderId="4" xfId="3" applyFont="1" applyFill="1" applyBorder="1" applyAlignment="1">
      <alignment horizontal="center" vertical="center"/>
    </xf>
    <xf numFmtId="0" fontId="12" fillId="3" borderId="5" xfId="3" applyFont="1" applyFill="1" applyBorder="1" applyAlignment="1">
      <alignment horizontal="center" vertical="center"/>
    </xf>
    <xf numFmtId="0" fontId="10" fillId="0" borderId="0" xfId="3" applyFont="1" applyAlignment="1">
      <alignment vertical="center"/>
    </xf>
    <xf numFmtId="0" fontId="10" fillId="0" borderId="6" xfId="3" applyFont="1" applyBorder="1"/>
    <xf numFmtId="0" fontId="10" fillId="0" borderId="7" xfId="3" applyFont="1" applyBorder="1"/>
    <xf numFmtId="0" fontId="10" fillId="0" borderId="7" xfId="3" applyFont="1" applyBorder="1" applyAlignment="1">
      <alignment horizontal="center"/>
    </xf>
    <xf numFmtId="0" fontId="10" fillId="0" borderId="8" xfId="3" applyFont="1" applyBorder="1" applyAlignment="1">
      <alignment horizontal="center"/>
    </xf>
    <xf numFmtId="0" fontId="10" fillId="0" borderId="9" xfId="3" applyFont="1" applyBorder="1"/>
    <xf numFmtId="0" fontId="10" fillId="0" borderId="10" xfId="3" applyFont="1" applyBorder="1"/>
    <xf numFmtId="0" fontId="10" fillId="0" borderId="10" xfId="3" applyFont="1" applyBorder="1" applyAlignment="1">
      <alignment horizontal="center"/>
    </xf>
    <xf numFmtId="0" fontId="10" fillId="0" borderId="11" xfId="3" applyFont="1" applyBorder="1" applyAlignment="1">
      <alignment horizontal="center"/>
    </xf>
    <xf numFmtId="16" fontId="0" fillId="0" borderId="0" xfId="0" applyNumberFormat="1"/>
    <xf numFmtId="0" fontId="16" fillId="0" borderId="0" xfId="3" applyFont="1"/>
    <xf numFmtId="0" fontId="10" fillId="0" borderId="0" xfId="3" applyFont="1" applyAlignment="1">
      <alignment horizontal="right"/>
    </xf>
    <xf numFmtId="14" fontId="10" fillId="0" borderId="0" xfId="3" applyNumberFormat="1" applyFont="1"/>
    <xf numFmtId="0" fontId="10" fillId="4" borderId="0" xfId="3" applyFont="1" applyFill="1"/>
    <xf numFmtId="0" fontId="4" fillId="5" borderId="0" xfId="4" applyFont="1" applyFill="1" applyAlignment="1">
      <alignment horizontal="center" vertical="center"/>
    </xf>
    <xf numFmtId="0" fontId="4" fillId="5" borderId="0" xfId="3" applyFont="1" applyFill="1"/>
    <xf numFmtId="165" fontId="4" fillId="5" borderId="0" xfId="1" applyNumberFormat="1" applyFont="1" applyFill="1" applyAlignment="1">
      <alignment vertical="center"/>
    </xf>
    <xf numFmtId="165" fontId="0" fillId="0" borderId="0" xfId="1" applyNumberFormat="1" applyFont="1" applyAlignment="1">
      <alignment horizontal="center" vertical="center"/>
    </xf>
    <xf numFmtId="164" fontId="6" fillId="6" borderId="1" xfId="1" applyFont="1" applyFill="1" applyBorder="1" applyAlignment="1">
      <alignment horizontal="left" vertical="center" wrapText="1"/>
    </xf>
    <xf numFmtId="165" fontId="6" fillId="6" borderId="1" xfId="1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2" fillId="0" borderId="10" xfId="3" applyFont="1" applyBorder="1"/>
    <xf numFmtId="0" fontId="13" fillId="0" borderId="0" xfId="3" applyFont="1"/>
    <xf numFmtId="164" fontId="13" fillId="0" borderId="0" xfId="1" applyFont="1"/>
    <xf numFmtId="165" fontId="10" fillId="0" borderId="0" xfId="1" applyNumberFormat="1" applyFont="1"/>
    <xf numFmtId="0" fontId="4" fillId="5" borderId="0" xfId="4" applyFont="1" applyFill="1" applyAlignment="1">
      <alignment vertical="center"/>
    </xf>
    <xf numFmtId="0" fontId="20" fillId="5" borderId="0" xfId="2" applyFont="1" applyFill="1" applyAlignment="1">
      <alignment vertical="center"/>
    </xf>
    <xf numFmtId="0" fontId="19" fillId="0" borderId="0" xfId="0" applyFont="1"/>
    <xf numFmtId="16" fontId="19" fillId="0" borderId="0" xfId="0" applyNumberFormat="1" applyFont="1"/>
    <xf numFmtId="0" fontId="21" fillId="0" borderId="0" xfId="0" applyFont="1"/>
    <xf numFmtId="1" fontId="0" fillId="0" borderId="0" xfId="0" applyNumberFormat="1"/>
    <xf numFmtId="14" fontId="0" fillId="0" borderId="0" xfId="1" applyNumberFormat="1" applyFont="1"/>
    <xf numFmtId="1" fontId="21" fillId="0" borderId="0" xfId="0" applyNumberFormat="1" applyFont="1"/>
    <xf numFmtId="165" fontId="4" fillId="5" borderId="0" xfId="1" applyNumberFormat="1" applyFont="1" applyFill="1" applyAlignment="1">
      <alignment vertical="center" wrapText="1"/>
    </xf>
    <xf numFmtId="0" fontId="22" fillId="8" borderId="12" xfId="0" applyFont="1" applyFill="1" applyBorder="1" applyAlignment="1">
      <alignment horizontal="left" vertical="center" wrapText="1"/>
    </xf>
    <xf numFmtId="0" fontId="23" fillId="8" borderId="12" xfId="0" applyFont="1" applyFill="1" applyBorder="1" applyAlignment="1">
      <alignment horizontal="left" vertical="center" wrapText="1"/>
    </xf>
    <xf numFmtId="0" fontId="23" fillId="9" borderId="12" xfId="0" applyFont="1" applyFill="1" applyBorder="1" applyAlignment="1">
      <alignment horizontal="left" vertical="center" wrapText="1"/>
    </xf>
    <xf numFmtId="14" fontId="20" fillId="5" borderId="0" xfId="2" applyNumberFormat="1" applyFont="1" applyFill="1" applyAlignment="1">
      <alignment vertical="center"/>
    </xf>
    <xf numFmtId="14" fontId="21" fillId="0" borderId="0" xfId="0" applyNumberFormat="1" applyFont="1"/>
    <xf numFmtId="1" fontId="0" fillId="0" borderId="0" xfId="1" applyNumberFormat="1" applyFont="1"/>
    <xf numFmtId="1" fontId="19" fillId="0" borderId="0" xfId="1" applyNumberFormat="1" applyFont="1"/>
    <xf numFmtId="165" fontId="21" fillId="0" borderId="0" xfId="1" applyNumberFormat="1" applyFont="1"/>
    <xf numFmtId="0" fontId="4" fillId="5" borderId="0" xfId="4" applyFont="1" applyFill="1" applyAlignment="1">
      <alignment horizontal="center" vertical="center" wrapText="1"/>
    </xf>
    <xf numFmtId="0" fontId="25" fillId="0" borderId="0" xfId="0" applyFont="1"/>
    <xf numFmtId="165" fontId="25" fillId="0" borderId="0" xfId="1" applyNumberFormat="1" applyFont="1"/>
    <xf numFmtId="16" fontId="25" fillId="0" borderId="0" xfId="0" applyNumberFormat="1" applyFont="1"/>
    <xf numFmtId="1" fontId="25" fillId="0" borderId="0" xfId="1" applyNumberFormat="1" applyFont="1"/>
    <xf numFmtId="14" fontId="26" fillId="0" borderId="0" xfId="0" applyNumberFormat="1" applyFont="1"/>
    <xf numFmtId="165" fontId="26" fillId="0" borderId="0" xfId="1" applyNumberFormat="1" applyFont="1"/>
    <xf numFmtId="1" fontId="26" fillId="0" borderId="0" xfId="0" applyNumberFormat="1" applyFont="1"/>
    <xf numFmtId="1" fontId="25" fillId="0" borderId="0" xfId="0" applyNumberFormat="1" applyFont="1"/>
    <xf numFmtId="0" fontId="6" fillId="6" borderId="1" xfId="3" applyFont="1" applyFill="1" applyBorder="1" applyAlignment="1">
      <alignment horizontal="left" vertical="center" wrapText="1"/>
    </xf>
    <xf numFmtId="164" fontId="6" fillId="6" borderId="1" xfId="3" applyNumberFormat="1" applyFont="1" applyFill="1" applyBorder="1" applyAlignment="1">
      <alignment horizontal="left" vertical="center" wrapText="1"/>
    </xf>
    <xf numFmtId="0" fontId="6" fillId="6" borderId="1" xfId="3" quotePrefix="1" applyFont="1" applyFill="1" applyBorder="1" applyAlignment="1">
      <alignment horizontal="left" vertical="center" wrapText="1"/>
    </xf>
    <xf numFmtId="16" fontId="6" fillId="6" borderId="1" xfId="3" quotePrefix="1" applyNumberFormat="1" applyFont="1" applyFill="1" applyBorder="1" applyAlignment="1">
      <alignment horizontal="left" vertical="center" wrapText="1"/>
    </xf>
    <xf numFmtId="14" fontId="4" fillId="5" borderId="0" xfId="1" applyNumberFormat="1" applyFont="1" applyFill="1" applyAlignment="1">
      <alignment vertical="center"/>
    </xf>
    <xf numFmtId="14" fontId="25" fillId="0" borderId="0" xfId="1" applyNumberFormat="1" applyFont="1"/>
    <xf numFmtId="0" fontId="27" fillId="0" borderId="0" xfId="0" applyFont="1" applyAlignment="1">
      <alignment horizontal="left"/>
    </xf>
    <xf numFmtId="165" fontId="19" fillId="0" borderId="0" xfId="1" applyNumberFormat="1" applyFont="1"/>
    <xf numFmtId="1" fontId="19" fillId="0" borderId="0" xfId="0" applyNumberFormat="1" applyFont="1"/>
    <xf numFmtId="14" fontId="19" fillId="0" borderId="0" xfId="1" applyNumberFormat="1" applyFont="1"/>
    <xf numFmtId="165" fontId="19" fillId="0" borderId="0" xfId="0" applyNumberFormat="1" applyFont="1"/>
    <xf numFmtId="0" fontId="11" fillId="7" borderId="2" xfId="4" applyFont="1" applyFill="1" applyBorder="1" applyAlignment="1">
      <alignment horizontal="center" vertical="center"/>
    </xf>
    <xf numFmtId="0" fontId="23" fillId="8" borderId="12" xfId="0" applyFont="1" applyFill="1" applyBorder="1" applyAlignment="1">
      <alignment horizontal="left" vertical="center"/>
    </xf>
  </cellXfs>
  <cellStyles count="11">
    <cellStyle name="Accent1" xfId="2" builtinId="29"/>
    <cellStyle name="Accent1 2" xfId="4" xr:uid="{70703EC5-416D-FF46-A36E-4C3FF2CA3BE1}"/>
    <cellStyle name="Bình thường 2" xfId="10" xr:uid="{125D8B6A-FA20-4F14-B77B-0E664C337F72}"/>
    <cellStyle name="Comma" xfId="1" builtinId="3"/>
    <cellStyle name="Comma 2" xfId="5" xr:uid="{CFA015A6-D0EF-F245-9C8C-260F5D7AF309}"/>
    <cellStyle name="Normal" xfId="0" builtinId="0"/>
    <cellStyle name="Normal 2" xfId="3" xr:uid="{696D304C-82BD-E24C-90F3-7E276B93B773}"/>
    <cellStyle name="Normal 3" xfId="6" xr:uid="{77858A80-463A-4FA1-A368-0A9BCF7845E2}"/>
    <cellStyle name="Normal 3 2" xfId="8" xr:uid="{0492EFFE-1067-4571-817A-CC10E956B9D3}"/>
    <cellStyle name="Normal 4" xfId="7" xr:uid="{8C3D762C-9262-4F1C-A3DE-FC7AFD2E3E50}"/>
    <cellStyle name="Percent 2" xfId="9" xr:uid="{56B69195-CCB5-4186-BBEE-423BC4546678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FB3CF00-7B39-4912-B207-C381040C7092}">
  <we:reference id="wa200005502" version="1.0.0.12" store="en-US" storeType="OMEX"/>
  <we:alternateReferences>
    <we:reference id="WA200005502" version="1.0.0.12" store="" storeType="OMEX"/>
  </we:alternateReferences>
  <we:properties>
    <we:property name="docId" value="&quot;6PQnIvk4CwLUglmZ_ThGX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B40D6-38A9-2D4F-B87B-57539435545A}">
  <sheetPr codeName="Sheet7"/>
  <dimension ref="A1:N28"/>
  <sheetViews>
    <sheetView showGridLines="0" zoomScale="86" zoomScaleNormal="85" workbookViewId="0">
      <selection activeCell="D11" sqref="D11"/>
    </sheetView>
  </sheetViews>
  <sheetFormatPr baseColWidth="10" defaultColWidth="8.83203125" defaultRowHeight="16"/>
  <cols>
    <col min="1" max="1" width="8.83203125" style="5"/>
    <col min="2" max="2" width="30.83203125" style="5" customWidth="1"/>
    <col min="3" max="3" width="25.6640625" style="5" customWidth="1"/>
    <col min="4" max="4" width="26.33203125" style="5" customWidth="1"/>
    <col min="5" max="5" width="7.83203125" style="5" customWidth="1"/>
    <col min="6" max="6" width="34.5" style="5" customWidth="1"/>
    <col min="7" max="8" width="16.5" style="5" customWidth="1"/>
    <col min="9" max="10" width="15" style="5" customWidth="1"/>
    <col min="11" max="11" width="13.83203125" style="6" customWidth="1"/>
    <col min="12" max="12" width="8.83203125" style="6"/>
    <col min="13" max="13" width="14" style="6" customWidth="1"/>
    <col min="14" max="14" width="8.83203125" style="6"/>
    <col min="15" max="16384" width="8.83203125" style="5"/>
  </cols>
  <sheetData>
    <row r="1" spans="1:14" ht="26">
      <c r="A1" s="4" t="s">
        <v>91</v>
      </c>
    </row>
    <row r="2" spans="1:14" ht="26">
      <c r="A2" s="4"/>
    </row>
    <row r="3" spans="1:14" s="7" customFormat="1" ht="15">
      <c r="A3" s="7" t="s">
        <v>92</v>
      </c>
      <c r="B3" s="8">
        <v>45857</v>
      </c>
      <c r="K3" s="9"/>
      <c r="L3" s="9"/>
      <c r="M3" s="9"/>
      <c r="N3" s="9"/>
    </row>
    <row r="4" spans="1:14" ht="25" customHeight="1" thickBot="1">
      <c r="K4" s="77" t="s">
        <v>93</v>
      </c>
      <c r="L4" s="77"/>
      <c r="M4" s="77"/>
      <c r="N4" s="77"/>
    </row>
    <row r="5" spans="1:14" s="15" customFormat="1" ht="37" customHeight="1">
      <c r="A5" s="10" t="s">
        <v>94</v>
      </c>
      <c r="B5" s="11" t="s">
        <v>95</v>
      </c>
      <c r="C5" s="11" t="s">
        <v>96</v>
      </c>
      <c r="D5" s="11" t="s">
        <v>97</v>
      </c>
      <c r="E5" s="12" t="s">
        <v>90</v>
      </c>
      <c r="F5" s="11" t="s">
        <v>98</v>
      </c>
      <c r="G5" s="11" t="s">
        <v>99</v>
      </c>
      <c r="H5" s="11" t="s">
        <v>100</v>
      </c>
      <c r="I5" s="11" t="s">
        <v>101</v>
      </c>
      <c r="J5" s="12" t="s">
        <v>102</v>
      </c>
      <c r="K5" s="13" t="s">
        <v>103</v>
      </c>
      <c r="L5" s="13" t="s">
        <v>104</v>
      </c>
      <c r="M5" s="13" t="s">
        <v>105</v>
      </c>
      <c r="N5" s="14" t="s">
        <v>106</v>
      </c>
    </row>
    <row r="6" spans="1:14">
      <c r="A6" s="16">
        <v>1</v>
      </c>
      <c r="B6" s="17" t="s">
        <v>107</v>
      </c>
      <c r="C6" s="17" t="s">
        <v>108</v>
      </c>
      <c r="D6" s="17"/>
      <c r="E6" s="17"/>
      <c r="F6" s="17"/>
      <c r="G6" s="17" t="s">
        <v>109</v>
      </c>
      <c r="H6" s="17"/>
      <c r="I6" s="17"/>
      <c r="J6" s="17"/>
      <c r="K6" s="18"/>
      <c r="L6" s="18"/>
      <c r="M6" s="18" t="s">
        <v>110</v>
      </c>
      <c r="N6" s="19" t="s">
        <v>110</v>
      </c>
    </row>
    <row r="7" spans="1:14">
      <c r="A7" s="20">
        <v>2</v>
      </c>
      <c r="B7" s="21" t="s">
        <v>111</v>
      </c>
      <c r="C7" s="21" t="s">
        <v>112</v>
      </c>
      <c r="D7" s="21" t="s">
        <v>113</v>
      </c>
      <c r="E7" s="21"/>
      <c r="F7" s="21">
        <v>30</v>
      </c>
      <c r="G7" s="21" t="s">
        <v>109</v>
      </c>
      <c r="H7" s="21"/>
      <c r="I7" s="21"/>
      <c r="J7" s="21"/>
      <c r="K7" s="22" t="s">
        <v>110</v>
      </c>
      <c r="L7" s="22" t="s">
        <v>110</v>
      </c>
      <c r="M7" s="22"/>
      <c r="N7" s="23"/>
    </row>
    <row r="8" spans="1:14">
      <c r="A8" s="20">
        <v>3</v>
      </c>
      <c r="B8" s="21" t="s">
        <v>114</v>
      </c>
      <c r="C8" s="21" t="s">
        <v>115</v>
      </c>
      <c r="D8" s="21"/>
      <c r="E8" s="21"/>
      <c r="F8" s="21">
        <v>60</v>
      </c>
      <c r="G8" s="21" t="s">
        <v>109</v>
      </c>
      <c r="H8" s="21"/>
      <c r="I8" s="21"/>
      <c r="J8" s="21"/>
      <c r="K8" s="22"/>
      <c r="L8" s="22"/>
      <c r="M8" s="22"/>
      <c r="N8" s="23"/>
    </row>
    <row r="9" spans="1:14">
      <c r="A9" s="20">
        <v>4</v>
      </c>
      <c r="B9" s="21" t="s">
        <v>116</v>
      </c>
      <c r="C9" s="21" t="s">
        <v>117</v>
      </c>
      <c r="D9" s="21"/>
      <c r="E9" s="21"/>
      <c r="F9" s="21">
        <v>60</v>
      </c>
      <c r="G9" s="21" t="s">
        <v>109</v>
      </c>
      <c r="H9" s="21"/>
      <c r="I9" s="21"/>
      <c r="J9" s="21"/>
      <c r="K9" s="22"/>
      <c r="L9" s="22"/>
      <c r="M9" s="22" t="s">
        <v>110</v>
      </c>
      <c r="N9" s="23"/>
    </row>
    <row r="10" spans="1:14">
      <c r="A10" s="20">
        <v>5</v>
      </c>
      <c r="B10" s="21" t="s">
        <v>118</v>
      </c>
      <c r="C10" s="21" t="s">
        <v>119</v>
      </c>
      <c r="D10" s="21"/>
      <c r="E10" s="21"/>
      <c r="F10" s="21">
        <v>60</v>
      </c>
      <c r="G10" s="21" t="s">
        <v>109</v>
      </c>
      <c r="H10" s="21"/>
      <c r="I10" s="21"/>
      <c r="J10" s="21"/>
      <c r="K10" s="22"/>
      <c r="L10" s="22"/>
      <c r="M10" s="22"/>
      <c r="N10" s="23" t="s">
        <v>110</v>
      </c>
    </row>
    <row r="11" spans="1:14">
      <c r="A11" s="20">
        <v>6</v>
      </c>
      <c r="B11" s="21" t="s">
        <v>120</v>
      </c>
      <c r="C11" s="21" t="s">
        <v>121</v>
      </c>
      <c r="D11" s="21"/>
      <c r="E11" s="21"/>
      <c r="F11" s="21">
        <v>180</v>
      </c>
      <c r="G11" s="21" t="s">
        <v>122</v>
      </c>
      <c r="H11" s="21"/>
      <c r="I11" s="21"/>
      <c r="J11" s="21"/>
      <c r="K11" s="22" t="s">
        <v>110</v>
      </c>
      <c r="L11" s="22"/>
      <c r="M11" s="22"/>
      <c r="N11" s="23"/>
    </row>
    <row r="12" spans="1:14">
      <c r="A12" s="20"/>
      <c r="B12" s="21"/>
      <c r="C12" s="21"/>
      <c r="D12" s="21"/>
      <c r="E12" s="21"/>
      <c r="F12" s="21"/>
      <c r="G12" s="21"/>
      <c r="H12" s="21"/>
      <c r="I12" s="21"/>
      <c r="J12" s="21"/>
      <c r="K12" s="22"/>
      <c r="L12" s="22"/>
      <c r="M12" s="22"/>
      <c r="N12" s="23"/>
    </row>
    <row r="13" spans="1:14">
      <c r="A13" s="20"/>
      <c r="B13" s="21"/>
      <c r="C13" s="21"/>
      <c r="D13" s="21"/>
      <c r="E13" s="21"/>
      <c r="F13" s="21"/>
      <c r="G13" s="21"/>
      <c r="H13" s="21"/>
      <c r="I13" s="21"/>
      <c r="J13" s="21"/>
      <c r="K13" s="22"/>
      <c r="L13" s="22"/>
      <c r="M13" s="22"/>
      <c r="N13" s="23"/>
    </row>
    <row r="14" spans="1:14">
      <c r="A14" s="20"/>
      <c r="B14" s="21"/>
      <c r="C14" s="21"/>
      <c r="D14" s="21"/>
      <c r="E14" s="21"/>
      <c r="F14" s="21"/>
      <c r="G14" s="36"/>
      <c r="H14" s="21"/>
      <c r="I14" s="21"/>
      <c r="J14" s="21"/>
      <c r="K14" s="22"/>
      <c r="L14" s="22"/>
      <c r="M14" s="22"/>
      <c r="N14" s="23"/>
    </row>
    <row r="15" spans="1:14">
      <c r="A15" s="20"/>
      <c r="B15" s="21"/>
      <c r="C15" s="21"/>
      <c r="D15" s="21"/>
      <c r="E15" s="21"/>
      <c r="F15" s="21"/>
      <c r="G15" s="21"/>
      <c r="H15" s="21"/>
      <c r="I15" s="21"/>
      <c r="J15" s="21"/>
      <c r="K15" s="22"/>
      <c r="L15" s="22"/>
      <c r="M15" s="22"/>
      <c r="N15" s="23"/>
    </row>
    <row r="16" spans="1:14">
      <c r="A16" s="20"/>
      <c r="B16" s="21"/>
      <c r="C16" s="21"/>
      <c r="D16" s="21"/>
      <c r="E16" s="21"/>
      <c r="F16" s="21"/>
      <c r="G16" s="21"/>
      <c r="H16" s="21"/>
      <c r="I16" s="21"/>
      <c r="J16" s="21"/>
      <c r="K16" s="22"/>
      <c r="L16" s="22"/>
      <c r="M16" s="22"/>
      <c r="N16" s="23"/>
    </row>
    <row r="17" spans="1:14">
      <c r="A17" s="20"/>
      <c r="B17" s="21"/>
      <c r="C17" s="21"/>
      <c r="D17" s="21"/>
      <c r="E17" s="21"/>
      <c r="F17" s="21"/>
      <c r="G17" s="21"/>
      <c r="H17" s="21"/>
      <c r="I17" s="21"/>
      <c r="J17" s="21"/>
      <c r="K17" s="22"/>
      <c r="L17" s="22"/>
      <c r="M17" s="22"/>
      <c r="N17" s="23"/>
    </row>
    <row r="18" spans="1:14">
      <c r="A18" s="20"/>
      <c r="B18" s="21"/>
      <c r="C18" s="21"/>
      <c r="D18" s="21"/>
      <c r="E18" s="21"/>
      <c r="F18" s="21"/>
      <c r="G18" s="21"/>
      <c r="H18" s="21"/>
      <c r="I18" s="21"/>
      <c r="J18" s="21"/>
      <c r="K18" s="22"/>
      <c r="L18" s="22"/>
      <c r="M18" s="22"/>
      <c r="N18" s="23"/>
    </row>
    <row r="19" spans="1:14">
      <c r="A19" s="20"/>
      <c r="B19" s="21"/>
      <c r="C19" s="21"/>
      <c r="D19" s="21"/>
      <c r="E19" s="21"/>
      <c r="F19" s="21"/>
      <c r="G19" s="21"/>
      <c r="H19" s="21"/>
      <c r="I19" s="21"/>
      <c r="J19" s="21"/>
      <c r="K19" s="22"/>
      <c r="L19" s="22"/>
      <c r="M19" s="22"/>
      <c r="N19" s="23"/>
    </row>
    <row r="20" spans="1:14">
      <c r="A20" s="20"/>
      <c r="B20" s="21"/>
      <c r="C20" s="21"/>
      <c r="D20" s="21"/>
      <c r="E20" s="21"/>
      <c r="F20" s="21"/>
      <c r="G20" s="21"/>
      <c r="H20" s="21"/>
      <c r="I20" s="21"/>
      <c r="J20" s="21"/>
      <c r="K20" s="22"/>
      <c r="L20" s="22"/>
      <c r="M20" s="22"/>
      <c r="N20" s="23"/>
    </row>
    <row r="21" spans="1:14">
      <c r="A21" s="20"/>
      <c r="B21" s="21"/>
      <c r="C21" s="21"/>
      <c r="D21" s="21"/>
      <c r="E21" s="21"/>
      <c r="F21" s="21"/>
      <c r="G21" s="21"/>
      <c r="H21" s="21"/>
      <c r="I21" s="21"/>
      <c r="J21" s="21"/>
      <c r="K21" s="22"/>
      <c r="L21" s="22"/>
      <c r="M21" s="22"/>
      <c r="N21" s="23"/>
    </row>
    <row r="22" spans="1:14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2"/>
      <c r="L22" s="22"/>
      <c r="M22" s="22"/>
      <c r="N22" s="23"/>
    </row>
    <row r="23" spans="1:14">
      <c r="A23" s="20"/>
      <c r="B23" s="21"/>
      <c r="C23" s="21"/>
      <c r="D23" s="21"/>
      <c r="E23" s="21"/>
      <c r="F23" s="21"/>
      <c r="G23" s="21"/>
      <c r="H23" s="21"/>
      <c r="I23" s="21"/>
      <c r="J23" s="21"/>
      <c r="K23" s="22"/>
      <c r="L23" s="22"/>
      <c r="M23" s="22"/>
      <c r="N23" s="23"/>
    </row>
    <row r="24" spans="1:14">
      <c r="A24" s="20"/>
      <c r="B24" s="21"/>
      <c r="C24" s="21"/>
      <c r="D24" s="21"/>
      <c r="E24" s="21"/>
      <c r="F24" s="21"/>
      <c r="G24" s="21"/>
      <c r="H24" s="21"/>
      <c r="I24" s="21"/>
      <c r="J24" s="21"/>
      <c r="K24" s="22"/>
      <c r="L24" s="22"/>
      <c r="M24" s="22"/>
      <c r="N24" s="23"/>
    </row>
    <row r="25" spans="1:14">
      <c r="A25" s="20"/>
      <c r="B25" s="21"/>
      <c r="C25" s="21"/>
      <c r="D25" s="21"/>
      <c r="E25" s="21"/>
      <c r="F25" s="21"/>
      <c r="G25" s="21"/>
      <c r="H25" s="21"/>
      <c r="I25" s="21"/>
      <c r="J25" s="21"/>
      <c r="K25" s="22"/>
      <c r="L25" s="22"/>
      <c r="M25" s="22"/>
      <c r="N25" s="23"/>
    </row>
    <row r="26" spans="1:14">
      <c r="A26" s="20"/>
      <c r="B26" s="21"/>
      <c r="C26" s="21"/>
      <c r="D26" s="21"/>
      <c r="E26" s="21"/>
      <c r="F26" s="21"/>
      <c r="G26" s="21"/>
      <c r="H26" s="21"/>
      <c r="I26" s="21"/>
      <c r="J26" s="21"/>
      <c r="K26" s="22"/>
      <c r="L26" s="22"/>
      <c r="M26" s="22"/>
      <c r="N26" s="23"/>
    </row>
    <row r="27" spans="1:14">
      <c r="A27" s="20"/>
      <c r="B27" s="21"/>
      <c r="C27" s="21"/>
      <c r="D27" s="21"/>
      <c r="E27" s="21"/>
      <c r="F27" s="21"/>
      <c r="G27" s="21"/>
      <c r="H27" s="21"/>
      <c r="I27" s="21"/>
      <c r="J27" s="21"/>
      <c r="K27" s="22"/>
      <c r="L27" s="22"/>
      <c r="M27" s="22"/>
      <c r="N27" s="23"/>
    </row>
    <row r="28" spans="1:14">
      <c r="A28" s="20"/>
      <c r="B28" s="21"/>
      <c r="C28" s="21"/>
      <c r="D28" s="21"/>
      <c r="E28" s="21"/>
      <c r="F28" s="21"/>
      <c r="G28" s="21"/>
      <c r="H28" s="21"/>
      <c r="I28" s="21"/>
      <c r="J28" s="21"/>
      <c r="K28" s="22"/>
      <c r="L28" s="22"/>
      <c r="M28" s="22"/>
      <c r="N28" s="23"/>
    </row>
  </sheetData>
  <mergeCells count="1">
    <mergeCell ref="K4:N4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35E4B-FEC6-5B41-9FF3-B0B6ED434DFD}">
  <sheetPr codeName="Sheet8"/>
  <dimension ref="A1:AF185"/>
  <sheetViews>
    <sheetView showGridLines="0" tabSelected="1" zoomScaleNormal="100" workbookViewId="0">
      <selection activeCell="B2" sqref="B2"/>
    </sheetView>
  </sheetViews>
  <sheetFormatPr baseColWidth="10" defaultColWidth="8.83203125" defaultRowHeight="16"/>
  <cols>
    <col min="1" max="1" width="8.83203125" style="5"/>
    <col min="2" max="2" width="13.83203125" style="5" bestFit="1" customWidth="1"/>
    <col min="3" max="3" width="12.33203125" style="5" bestFit="1" customWidth="1"/>
    <col min="4" max="4" width="16.5" style="5" customWidth="1"/>
    <col min="5" max="5" width="10.6640625" style="5" bestFit="1" customWidth="1"/>
    <col min="6" max="6" width="17.33203125" style="5" bestFit="1" customWidth="1"/>
    <col min="7" max="7" width="43.5" style="5" customWidth="1"/>
    <col min="8" max="8" width="23" style="5" customWidth="1"/>
    <col min="9" max="9" width="17" style="5" bestFit="1" customWidth="1"/>
    <col min="10" max="10" width="46.1640625" style="5" customWidth="1"/>
    <col min="11" max="11" width="61.33203125" style="5" customWidth="1"/>
    <col min="12" max="12" width="18.1640625" style="5" customWidth="1"/>
    <col min="13" max="13" width="24.1640625" style="5" customWidth="1"/>
    <col min="14" max="14" width="16.1640625" style="5" customWidth="1"/>
    <col min="15" max="15" width="8.5" style="26" bestFit="1" customWidth="1"/>
    <col min="16" max="17" width="8.83203125" style="5" customWidth="1"/>
    <col min="18" max="20" width="14.83203125" style="5" customWidth="1"/>
    <col min="21" max="23" width="18.5" style="5" customWidth="1"/>
    <col min="24" max="26" width="13.5" style="5" customWidth="1"/>
    <col min="27" max="27" width="12.5" style="39" customWidth="1"/>
    <col min="28" max="28" width="15.5" style="39" customWidth="1"/>
    <col min="29" max="29" width="17" style="39" customWidth="1"/>
    <col min="30" max="30" width="15.1640625" style="5" customWidth="1"/>
    <col min="31" max="32" width="13.5" style="5" customWidth="1"/>
    <col min="33" max="16384" width="8.83203125" style="5"/>
  </cols>
  <sheetData>
    <row r="1" spans="1:32" ht="47">
      <c r="B1" s="25"/>
      <c r="C1" s="25" t="s">
        <v>123</v>
      </c>
    </row>
    <row r="3" spans="1:32">
      <c r="C3" s="5" t="s">
        <v>124</v>
      </c>
      <c r="D3" s="27">
        <v>45857</v>
      </c>
      <c r="P3" s="37" t="s">
        <v>125</v>
      </c>
      <c r="Q3" s="37"/>
      <c r="R3" s="38">
        <v>26020</v>
      </c>
      <c r="S3" s="37" t="s">
        <v>126</v>
      </c>
    </row>
    <row r="4" spans="1:32">
      <c r="C4" s="5" t="s">
        <v>127</v>
      </c>
      <c r="D4" s="5">
        <v>1</v>
      </c>
      <c r="E4" s="28" t="s">
        <v>128</v>
      </c>
    </row>
    <row r="5" spans="1:32">
      <c r="D5" s="27"/>
    </row>
    <row r="7" spans="1:32" s="30" customFormat="1" ht="31" customHeight="1">
      <c r="A7" s="5"/>
      <c r="B7" s="40" t="s">
        <v>319</v>
      </c>
      <c r="C7" s="40" t="s">
        <v>1</v>
      </c>
      <c r="D7" s="40" t="s">
        <v>0</v>
      </c>
      <c r="E7" s="40" t="s">
        <v>129</v>
      </c>
      <c r="F7" s="40" t="s">
        <v>130</v>
      </c>
      <c r="G7" s="40" t="s">
        <v>131</v>
      </c>
      <c r="H7" s="40" t="s">
        <v>334</v>
      </c>
      <c r="I7" s="40" t="s">
        <v>132</v>
      </c>
      <c r="J7" s="40" t="s">
        <v>133</v>
      </c>
      <c r="K7" s="40" t="s">
        <v>2</v>
      </c>
      <c r="L7" s="40" t="s">
        <v>333</v>
      </c>
      <c r="M7" s="40" t="s">
        <v>134</v>
      </c>
      <c r="N7" s="40" t="s">
        <v>135</v>
      </c>
      <c r="O7" s="29" t="s">
        <v>136</v>
      </c>
      <c r="P7" s="29" t="s">
        <v>137</v>
      </c>
      <c r="Q7" s="29" t="s">
        <v>138</v>
      </c>
      <c r="R7" s="40" t="s">
        <v>139</v>
      </c>
      <c r="S7" s="40" t="s">
        <v>140</v>
      </c>
      <c r="T7" s="40" t="s">
        <v>141</v>
      </c>
      <c r="U7" s="57" t="s">
        <v>142</v>
      </c>
      <c r="V7" s="57" t="s">
        <v>143</v>
      </c>
      <c r="W7" s="57" t="s">
        <v>144</v>
      </c>
      <c r="X7" s="40" t="s">
        <v>145</v>
      </c>
      <c r="Y7" s="40" t="s">
        <v>3</v>
      </c>
      <c r="Z7" s="40" t="s">
        <v>4</v>
      </c>
      <c r="AA7" s="48" t="s">
        <v>146</v>
      </c>
      <c r="AB7" s="48" t="s">
        <v>147</v>
      </c>
      <c r="AC7" s="48" t="s">
        <v>351</v>
      </c>
      <c r="AD7" s="40" t="s">
        <v>148</v>
      </c>
      <c r="AE7" s="40" t="s">
        <v>5</v>
      </c>
      <c r="AF7" s="40" t="s">
        <v>329</v>
      </c>
    </row>
    <row r="8" spans="1:32">
      <c r="B8" s="66" t="str">
        <f>D8&amp;F8</f>
        <v>MAT001</v>
      </c>
      <c r="C8" s="66" t="str">
        <f t="shared" ref="C8:C39" si="0">_xlfn.CONCAT(D8,F8,I8)</f>
        <v>MAT001001</v>
      </c>
      <c r="D8" s="66" t="s">
        <v>149</v>
      </c>
      <c r="E8" s="66" t="s">
        <v>150</v>
      </c>
      <c r="F8" s="66" t="s">
        <v>151</v>
      </c>
      <c r="G8" s="66" t="s">
        <v>152</v>
      </c>
      <c r="H8" s="72" t="s">
        <v>335</v>
      </c>
      <c r="I8" s="66" t="s">
        <v>151</v>
      </c>
      <c r="J8" s="66" t="str">
        <f>P8&amp;" x "&amp;Q8&amp;" x "&amp;O8&amp;" cm"</f>
        <v>80 x 200 x 10 cm</v>
      </c>
      <c r="K8" s="66" t="str">
        <f t="shared" ref="K8:K39" si="1">_xlfn.CONCAT(E8," ",G8," ",J8)</f>
        <v>Nệm T&amp;N Foam 80 x 200 x 10 cm</v>
      </c>
      <c r="L8" s="66" t="str">
        <f>_xlfn.XLOOKUP(M8,'0. Mã Supplier'!$B:$B,'0. Mã Supplier'!$C:$C,0)</f>
        <v>SUVN0002</v>
      </c>
      <c r="M8" s="66" t="s">
        <v>111</v>
      </c>
      <c r="N8" s="66"/>
      <c r="O8" s="66">
        <v>10</v>
      </c>
      <c r="P8" s="66">
        <v>80</v>
      </c>
      <c r="Q8" s="66">
        <v>200</v>
      </c>
      <c r="R8" s="33">
        <v>0</v>
      </c>
      <c r="S8" s="33">
        <v>0</v>
      </c>
      <c r="T8" s="66" t="s">
        <v>153</v>
      </c>
      <c r="U8" s="34">
        <f>P8*10+80</f>
        <v>880</v>
      </c>
      <c r="V8" s="34">
        <v>250</v>
      </c>
      <c r="W8" s="34">
        <v>250</v>
      </c>
      <c r="X8" s="66"/>
      <c r="Y8" s="66">
        <v>5</v>
      </c>
      <c r="Z8" s="66"/>
      <c r="AA8" s="34">
        <v>0</v>
      </c>
      <c r="AB8" s="34">
        <v>0</v>
      </c>
      <c r="AC8" s="34">
        <f>AB8*1.08</f>
        <v>0</v>
      </c>
      <c r="AD8" s="66"/>
      <c r="AE8" s="66" t="s">
        <v>154</v>
      </c>
      <c r="AF8" s="67">
        <f>U8*V8*W8/10^9</f>
        <v>5.5E-2</v>
      </c>
    </row>
    <row r="9" spans="1:32">
      <c r="B9" s="66" t="str">
        <f t="shared" ref="B9:B72" si="2">D9&amp;F9</f>
        <v>MAT001</v>
      </c>
      <c r="C9" s="66" t="str">
        <f t="shared" si="0"/>
        <v>MAT001002</v>
      </c>
      <c r="D9" s="66" t="s">
        <v>149</v>
      </c>
      <c r="E9" s="66" t="s">
        <v>150</v>
      </c>
      <c r="F9" s="66" t="s">
        <v>151</v>
      </c>
      <c r="G9" s="66" t="s">
        <v>152</v>
      </c>
      <c r="H9" s="72" t="s">
        <v>335</v>
      </c>
      <c r="I9" s="66" t="s">
        <v>155</v>
      </c>
      <c r="J9" s="66" t="str">
        <f t="shared" ref="J9:J72" si="3">P9&amp;" x "&amp;Q9&amp;" x "&amp;O9&amp;" cm"</f>
        <v>100 x 200 x 10 cm</v>
      </c>
      <c r="K9" s="66" t="str">
        <f t="shared" si="1"/>
        <v>Nệm T&amp;N Foam 100 x 200 x 10 cm</v>
      </c>
      <c r="L9" s="66" t="str">
        <f>_xlfn.XLOOKUP(M9,'0. Mã Supplier'!$B:$B,'0. Mã Supplier'!$C:$C,0)</f>
        <v>SUVN0002</v>
      </c>
      <c r="M9" s="66" t="s">
        <v>111</v>
      </c>
      <c r="N9" s="66"/>
      <c r="O9" s="66">
        <v>10</v>
      </c>
      <c r="P9" s="66">
        <v>100</v>
      </c>
      <c r="Q9" s="66">
        <v>200</v>
      </c>
      <c r="R9" s="33">
        <v>0</v>
      </c>
      <c r="S9" s="33">
        <v>0</v>
      </c>
      <c r="T9" s="66" t="s">
        <v>153</v>
      </c>
      <c r="U9" s="34">
        <f t="shared" ref="U9:U31" si="4">P9*10+80</f>
        <v>1080</v>
      </c>
      <c r="V9" s="34">
        <v>250</v>
      </c>
      <c r="W9" s="34">
        <v>250</v>
      </c>
      <c r="X9" s="66"/>
      <c r="Y9" s="66">
        <v>5</v>
      </c>
      <c r="Z9" s="66"/>
      <c r="AA9" s="34">
        <v>0</v>
      </c>
      <c r="AB9" s="34">
        <v>0</v>
      </c>
      <c r="AC9" s="34">
        <f t="shared" ref="AC9:AC72" si="5">AB9*1.08</f>
        <v>0</v>
      </c>
      <c r="AD9" s="66"/>
      <c r="AE9" s="66" t="s">
        <v>154</v>
      </c>
      <c r="AF9" s="67">
        <f t="shared" ref="AF9:AF31" si="6">U9*V9*W9/10^9</f>
        <v>6.7500000000000004E-2</v>
      </c>
    </row>
    <row r="10" spans="1:32">
      <c r="B10" s="66" t="str">
        <f t="shared" si="2"/>
        <v>MAT001</v>
      </c>
      <c r="C10" s="66" t="str">
        <f t="shared" si="0"/>
        <v>MAT001003</v>
      </c>
      <c r="D10" s="66" t="s">
        <v>149</v>
      </c>
      <c r="E10" s="66" t="s">
        <v>150</v>
      </c>
      <c r="F10" s="66" t="s">
        <v>151</v>
      </c>
      <c r="G10" s="66" t="s">
        <v>152</v>
      </c>
      <c r="H10" s="72" t="s">
        <v>335</v>
      </c>
      <c r="I10" s="66" t="s">
        <v>156</v>
      </c>
      <c r="J10" s="66" t="str">
        <f t="shared" si="3"/>
        <v>120 x 200 x 10 cm</v>
      </c>
      <c r="K10" s="66" t="str">
        <f t="shared" si="1"/>
        <v>Nệm T&amp;N Foam 120 x 200 x 10 cm</v>
      </c>
      <c r="L10" s="66" t="str">
        <f>_xlfn.XLOOKUP(M10,'0. Mã Supplier'!$B:$B,'0. Mã Supplier'!$C:$C,0)</f>
        <v>SUVN0002</v>
      </c>
      <c r="M10" s="66" t="s">
        <v>111</v>
      </c>
      <c r="N10" s="66"/>
      <c r="O10" s="66">
        <v>10</v>
      </c>
      <c r="P10" s="66">
        <v>120</v>
      </c>
      <c r="Q10" s="66">
        <v>200</v>
      </c>
      <c r="R10" s="33">
        <v>0</v>
      </c>
      <c r="S10" s="33">
        <v>0</v>
      </c>
      <c r="T10" s="66" t="s">
        <v>153</v>
      </c>
      <c r="U10" s="34">
        <f t="shared" si="4"/>
        <v>1280</v>
      </c>
      <c r="V10" s="34">
        <v>250</v>
      </c>
      <c r="W10" s="34">
        <v>250</v>
      </c>
      <c r="X10" s="66"/>
      <c r="Y10" s="66">
        <v>5</v>
      </c>
      <c r="Z10" s="66">
        <v>15</v>
      </c>
      <c r="AA10" s="34">
        <v>0</v>
      </c>
      <c r="AB10" s="34">
        <v>1073100</v>
      </c>
      <c r="AC10" s="34">
        <f t="shared" si="5"/>
        <v>1158948</v>
      </c>
      <c r="AD10" s="66"/>
      <c r="AE10" s="66" t="s">
        <v>154</v>
      </c>
      <c r="AF10" s="67">
        <f t="shared" si="6"/>
        <v>0.08</v>
      </c>
    </row>
    <row r="11" spans="1:32">
      <c r="B11" s="66" t="str">
        <f t="shared" si="2"/>
        <v>MAT001</v>
      </c>
      <c r="C11" s="66" t="str">
        <f t="shared" si="0"/>
        <v>MAT001004</v>
      </c>
      <c r="D11" s="66" t="s">
        <v>149</v>
      </c>
      <c r="E11" s="66" t="s">
        <v>150</v>
      </c>
      <c r="F11" s="66" t="s">
        <v>151</v>
      </c>
      <c r="G11" s="66" t="s">
        <v>152</v>
      </c>
      <c r="H11" s="72" t="s">
        <v>335</v>
      </c>
      <c r="I11" s="66" t="s">
        <v>157</v>
      </c>
      <c r="J11" s="66" t="str">
        <f t="shared" si="3"/>
        <v>140 x 200 x 10 cm</v>
      </c>
      <c r="K11" s="66" t="str">
        <f t="shared" si="1"/>
        <v>Nệm T&amp;N Foam 140 x 200 x 10 cm</v>
      </c>
      <c r="L11" s="66" t="str">
        <f>_xlfn.XLOOKUP(M11,'0. Mã Supplier'!$B:$B,'0. Mã Supplier'!$C:$C,0)</f>
        <v>SUVN0002</v>
      </c>
      <c r="M11" s="66" t="s">
        <v>111</v>
      </c>
      <c r="N11" s="66"/>
      <c r="O11" s="66">
        <v>10</v>
      </c>
      <c r="P11" s="66">
        <v>140</v>
      </c>
      <c r="Q11" s="66">
        <v>200</v>
      </c>
      <c r="R11" s="33">
        <v>0</v>
      </c>
      <c r="S11" s="33">
        <v>0</v>
      </c>
      <c r="T11" s="66" t="s">
        <v>153</v>
      </c>
      <c r="U11" s="34">
        <f t="shared" si="4"/>
        <v>1480</v>
      </c>
      <c r="V11" s="34">
        <v>250</v>
      </c>
      <c r="W11" s="34">
        <v>250</v>
      </c>
      <c r="X11" s="66"/>
      <c r="Y11" s="66">
        <v>5</v>
      </c>
      <c r="Z11" s="66"/>
      <c r="AA11" s="34">
        <v>0</v>
      </c>
      <c r="AB11" s="34">
        <v>0</v>
      </c>
      <c r="AC11" s="34">
        <f t="shared" si="5"/>
        <v>0</v>
      </c>
      <c r="AD11" s="66"/>
      <c r="AE11" s="66" t="s">
        <v>154</v>
      </c>
      <c r="AF11" s="67">
        <f t="shared" si="6"/>
        <v>9.2499999999999999E-2</v>
      </c>
    </row>
    <row r="12" spans="1:32">
      <c r="B12" s="66" t="str">
        <f t="shared" si="2"/>
        <v>MAT001</v>
      </c>
      <c r="C12" s="66" t="str">
        <f t="shared" si="0"/>
        <v>MAT001005</v>
      </c>
      <c r="D12" s="66" t="s">
        <v>149</v>
      </c>
      <c r="E12" s="66" t="s">
        <v>150</v>
      </c>
      <c r="F12" s="66" t="s">
        <v>151</v>
      </c>
      <c r="G12" s="66" t="s">
        <v>152</v>
      </c>
      <c r="H12" s="72" t="s">
        <v>335</v>
      </c>
      <c r="I12" s="66" t="s">
        <v>158</v>
      </c>
      <c r="J12" s="66" t="str">
        <f t="shared" si="3"/>
        <v>160 x 200 x 10 cm</v>
      </c>
      <c r="K12" s="66" t="str">
        <f t="shared" si="1"/>
        <v>Nệm T&amp;N Foam 160 x 200 x 10 cm</v>
      </c>
      <c r="L12" s="66" t="str">
        <f>_xlfn.XLOOKUP(M12,'0. Mã Supplier'!$B:$B,'0. Mã Supplier'!$C:$C,0)</f>
        <v>SUVN0002</v>
      </c>
      <c r="M12" s="66" t="s">
        <v>111</v>
      </c>
      <c r="N12" s="66"/>
      <c r="O12" s="66">
        <v>10</v>
      </c>
      <c r="P12" s="66">
        <v>160</v>
      </c>
      <c r="Q12" s="66">
        <v>200</v>
      </c>
      <c r="R12" s="33">
        <v>0</v>
      </c>
      <c r="S12" s="33">
        <v>0</v>
      </c>
      <c r="T12" s="66" t="s">
        <v>153</v>
      </c>
      <c r="U12" s="34">
        <f t="shared" si="4"/>
        <v>1680</v>
      </c>
      <c r="V12" s="34">
        <v>250</v>
      </c>
      <c r="W12" s="34">
        <v>250</v>
      </c>
      <c r="X12" s="66"/>
      <c r="Y12" s="66">
        <v>5</v>
      </c>
      <c r="Z12" s="66"/>
      <c r="AA12" s="34">
        <v>0</v>
      </c>
      <c r="AB12" s="34">
        <v>1421300</v>
      </c>
      <c r="AC12" s="34">
        <f t="shared" si="5"/>
        <v>1535004</v>
      </c>
      <c r="AD12" s="66"/>
      <c r="AE12" s="66" t="s">
        <v>154</v>
      </c>
      <c r="AF12" s="67">
        <f t="shared" si="6"/>
        <v>0.105</v>
      </c>
    </row>
    <row r="13" spans="1:32">
      <c r="B13" s="66" t="str">
        <f>D13&amp;F13</f>
        <v>MAT001</v>
      </c>
      <c r="C13" s="66" t="str">
        <f t="shared" si="0"/>
        <v>MAT001006</v>
      </c>
      <c r="D13" s="66" t="s">
        <v>149</v>
      </c>
      <c r="E13" s="66" t="s">
        <v>150</v>
      </c>
      <c r="F13" s="66" t="s">
        <v>151</v>
      </c>
      <c r="G13" s="66" t="s">
        <v>152</v>
      </c>
      <c r="H13" s="72" t="s">
        <v>335</v>
      </c>
      <c r="I13" s="66" t="s">
        <v>159</v>
      </c>
      <c r="J13" s="66" t="str">
        <f t="shared" si="3"/>
        <v>180 x 200 x 10 cm</v>
      </c>
      <c r="K13" s="66" t="str">
        <f t="shared" si="1"/>
        <v>Nệm T&amp;N Foam 180 x 200 x 10 cm</v>
      </c>
      <c r="L13" s="66" t="str">
        <f>_xlfn.XLOOKUP(M13,'0. Mã Supplier'!$B:$B,'0. Mã Supplier'!$C:$C,0)</f>
        <v>SUVN0002</v>
      </c>
      <c r="M13" s="66" t="s">
        <v>111</v>
      </c>
      <c r="N13" s="66"/>
      <c r="O13" s="66">
        <v>10</v>
      </c>
      <c r="P13" s="66">
        <v>180</v>
      </c>
      <c r="Q13" s="66">
        <v>200</v>
      </c>
      <c r="R13" s="33">
        <v>0</v>
      </c>
      <c r="S13" s="33">
        <v>0</v>
      </c>
      <c r="T13" s="66" t="s">
        <v>153</v>
      </c>
      <c r="U13" s="34">
        <f t="shared" si="4"/>
        <v>1880</v>
      </c>
      <c r="V13" s="34">
        <v>250</v>
      </c>
      <c r="W13" s="34">
        <v>250</v>
      </c>
      <c r="X13" s="66"/>
      <c r="Y13" s="66">
        <v>5</v>
      </c>
      <c r="Z13" s="66"/>
      <c r="AA13" s="34">
        <v>0</v>
      </c>
      <c r="AB13" s="34">
        <v>1585400</v>
      </c>
      <c r="AC13" s="34">
        <f t="shared" si="5"/>
        <v>1712232</v>
      </c>
      <c r="AD13" s="66"/>
      <c r="AE13" s="66" t="s">
        <v>154</v>
      </c>
      <c r="AF13" s="67">
        <f t="shared" si="6"/>
        <v>0.11749999999999999</v>
      </c>
    </row>
    <row r="14" spans="1:32">
      <c r="B14" s="66" t="str">
        <f t="shared" si="2"/>
        <v>MAT001</v>
      </c>
      <c r="C14" s="66" t="str">
        <f t="shared" si="0"/>
        <v>MAT001007</v>
      </c>
      <c r="D14" s="66" t="s">
        <v>149</v>
      </c>
      <c r="E14" s="66" t="s">
        <v>150</v>
      </c>
      <c r="F14" s="66" t="s">
        <v>151</v>
      </c>
      <c r="G14" s="66" t="s">
        <v>152</v>
      </c>
      <c r="H14" s="72" t="s">
        <v>335</v>
      </c>
      <c r="I14" s="66" t="s">
        <v>160</v>
      </c>
      <c r="J14" s="66" t="str">
        <f t="shared" si="3"/>
        <v>200 x 200 x 10 cm</v>
      </c>
      <c r="K14" s="66" t="str">
        <f t="shared" si="1"/>
        <v>Nệm T&amp;N Foam 200 x 200 x 10 cm</v>
      </c>
      <c r="L14" s="66" t="str">
        <f>_xlfn.XLOOKUP(M14,'0. Mã Supplier'!$B:$B,'0. Mã Supplier'!$C:$C,0)</f>
        <v>SUVN0002</v>
      </c>
      <c r="M14" s="66" t="s">
        <v>111</v>
      </c>
      <c r="N14" s="66"/>
      <c r="O14" s="66">
        <v>10</v>
      </c>
      <c r="P14" s="66">
        <v>200</v>
      </c>
      <c r="Q14" s="66">
        <v>200</v>
      </c>
      <c r="R14" s="33">
        <v>0</v>
      </c>
      <c r="S14" s="33">
        <v>0</v>
      </c>
      <c r="T14" s="66" t="s">
        <v>153</v>
      </c>
      <c r="U14" s="34">
        <f t="shared" si="4"/>
        <v>2080</v>
      </c>
      <c r="V14" s="34">
        <v>250</v>
      </c>
      <c r="W14" s="34">
        <v>250</v>
      </c>
      <c r="X14" s="66"/>
      <c r="Y14" s="66">
        <v>5</v>
      </c>
      <c r="Z14" s="66"/>
      <c r="AA14" s="34">
        <v>0</v>
      </c>
      <c r="AB14" s="34">
        <v>0</v>
      </c>
      <c r="AC14" s="34">
        <f t="shared" si="5"/>
        <v>0</v>
      </c>
      <c r="AD14" s="66"/>
      <c r="AE14" s="66" t="s">
        <v>154</v>
      </c>
      <c r="AF14" s="67">
        <f t="shared" si="6"/>
        <v>0.13</v>
      </c>
    </row>
    <row r="15" spans="1:32">
      <c r="B15" s="66" t="str">
        <f t="shared" si="2"/>
        <v>MAT001</v>
      </c>
      <c r="C15" s="66" t="str">
        <f t="shared" si="0"/>
        <v>MAT001008</v>
      </c>
      <c r="D15" s="66" t="s">
        <v>149</v>
      </c>
      <c r="E15" s="66" t="s">
        <v>150</v>
      </c>
      <c r="F15" s="66" t="s">
        <v>151</v>
      </c>
      <c r="G15" s="66" t="s">
        <v>152</v>
      </c>
      <c r="H15" s="72" t="s">
        <v>335</v>
      </c>
      <c r="I15" s="66" t="s">
        <v>161</v>
      </c>
      <c r="J15" s="66" t="str">
        <f t="shared" si="3"/>
        <v>200 x 220 x 10 cm</v>
      </c>
      <c r="K15" s="66" t="str">
        <f t="shared" si="1"/>
        <v>Nệm T&amp;N Foam 200 x 220 x 10 cm</v>
      </c>
      <c r="L15" s="66" t="str">
        <f>_xlfn.XLOOKUP(M15,'0. Mã Supplier'!$B:$B,'0. Mã Supplier'!$C:$C,0)</f>
        <v>SUVN0002</v>
      </c>
      <c r="M15" s="66" t="s">
        <v>111</v>
      </c>
      <c r="N15" s="66"/>
      <c r="O15" s="66">
        <v>10</v>
      </c>
      <c r="P15" s="66">
        <v>200</v>
      </c>
      <c r="Q15" s="66">
        <v>220</v>
      </c>
      <c r="R15" s="33">
        <v>0</v>
      </c>
      <c r="S15" s="33">
        <v>0</v>
      </c>
      <c r="T15" s="66" t="s">
        <v>153</v>
      </c>
      <c r="U15" s="34">
        <f t="shared" si="4"/>
        <v>2080</v>
      </c>
      <c r="V15" s="34">
        <v>250</v>
      </c>
      <c r="W15" s="34">
        <v>250</v>
      </c>
      <c r="X15" s="66"/>
      <c r="Y15" s="66">
        <v>5</v>
      </c>
      <c r="Z15" s="66"/>
      <c r="AA15" s="34">
        <v>0</v>
      </c>
      <c r="AB15" s="34">
        <v>0</v>
      </c>
      <c r="AC15" s="34">
        <f t="shared" si="5"/>
        <v>0</v>
      </c>
      <c r="AD15" s="66"/>
      <c r="AE15" s="66" t="s">
        <v>154</v>
      </c>
      <c r="AF15" s="67">
        <f t="shared" si="6"/>
        <v>0.13</v>
      </c>
    </row>
    <row r="16" spans="1:32">
      <c r="B16" s="66" t="str">
        <f t="shared" si="2"/>
        <v>MAT001</v>
      </c>
      <c r="C16" s="66" t="str">
        <f t="shared" si="0"/>
        <v>MAT001009</v>
      </c>
      <c r="D16" s="66" t="s">
        <v>149</v>
      </c>
      <c r="E16" s="66" t="s">
        <v>150</v>
      </c>
      <c r="F16" s="66" t="s">
        <v>151</v>
      </c>
      <c r="G16" s="66" t="s">
        <v>152</v>
      </c>
      <c r="H16" s="72" t="s">
        <v>335</v>
      </c>
      <c r="I16" s="66" t="s">
        <v>162</v>
      </c>
      <c r="J16" s="66" t="str">
        <f t="shared" si="3"/>
        <v>80 x 200 x 15 cm</v>
      </c>
      <c r="K16" s="66" t="str">
        <f t="shared" si="1"/>
        <v>Nệm T&amp;N Foam 80 x 200 x 15 cm</v>
      </c>
      <c r="L16" s="66" t="str">
        <f>_xlfn.XLOOKUP(M16,'0. Mã Supplier'!$B:$B,'0. Mã Supplier'!$C:$C,0)</f>
        <v>SUVN0002</v>
      </c>
      <c r="M16" s="66" t="s">
        <v>111</v>
      </c>
      <c r="N16" s="66"/>
      <c r="O16" s="66">
        <v>15</v>
      </c>
      <c r="P16" s="66">
        <v>80</v>
      </c>
      <c r="Q16" s="66">
        <v>200</v>
      </c>
      <c r="R16" s="33">
        <v>0</v>
      </c>
      <c r="S16" s="33">
        <v>0</v>
      </c>
      <c r="T16" s="66" t="s">
        <v>153</v>
      </c>
      <c r="U16" s="34">
        <f t="shared" si="4"/>
        <v>880</v>
      </c>
      <c r="V16" s="34">
        <v>370</v>
      </c>
      <c r="W16" s="34">
        <v>370</v>
      </c>
      <c r="X16" s="66"/>
      <c r="Y16" s="66">
        <v>5</v>
      </c>
      <c r="Z16" s="66"/>
      <c r="AA16" s="34">
        <v>0</v>
      </c>
      <c r="AB16" s="34">
        <v>0</v>
      </c>
      <c r="AC16" s="34">
        <f t="shared" si="5"/>
        <v>0</v>
      </c>
      <c r="AD16" s="66"/>
      <c r="AE16" s="66" t="s">
        <v>154</v>
      </c>
      <c r="AF16" s="67">
        <f t="shared" si="6"/>
        <v>0.120472</v>
      </c>
    </row>
    <row r="17" spans="2:32">
      <c r="B17" s="66" t="str">
        <f t="shared" si="2"/>
        <v>MAT001</v>
      </c>
      <c r="C17" s="66" t="str">
        <f t="shared" si="0"/>
        <v>MAT001010</v>
      </c>
      <c r="D17" s="66" t="s">
        <v>149</v>
      </c>
      <c r="E17" s="66" t="s">
        <v>150</v>
      </c>
      <c r="F17" s="66" t="s">
        <v>151</v>
      </c>
      <c r="G17" s="66" t="s">
        <v>152</v>
      </c>
      <c r="H17" s="72" t="s">
        <v>335</v>
      </c>
      <c r="I17" s="66" t="s">
        <v>163</v>
      </c>
      <c r="J17" s="66" t="str">
        <f t="shared" si="3"/>
        <v>100 x 200 x 15 cm</v>
      </c>
      <c r="K17" s="66" t="str">
        <f t="shared" si="1"/>
        <v>Nệm T&amp;N Foam 100 x 200 x 15 cm</v>
      </c>
      <c r="L17" s="66" t="str">
        <f>_xlfn.XLOOKUP(M17,'0. Mã Supplier'!$B:$B,'0. Mã Supplier'!$C:$C,0)</f>
        <v>SUVN0002</v>
      </c>
      <c r="M17" s="66" t="s">
        <v>111</v>
      </c>
      <c r="N17" s="66"/>
      <c r="O17" s="66">
        <v>15</v>
      </c>
      <c r="P17" s="66">
        <v>100</v>
      </c>
      <c r="Q17" s="66">
        <v>200</v>
      </c>
      <c r="R17" s="33">
        <v>0</v>
      </c>
      <c r="S17" s="33">
        <v>0</v>
      </c>
      <c r="T17" s="66" t="s">
        <v>153</v>
      </c>
      <c r="U17" s="34">
        <f t="shared" si="4"/>
        <v>1080</v>
      </c>
      <c r="V17" s="34">
        <v>370</v>
      </c>
      <c r="W17" s="34">
        <v>370</v>
      </c>
      <c r="X17" s="66"/>
      <c r="Y17" s="66">
        <v>5</v>
      </c>
      <c r="Z17" s="66"/>
      <c r="AA17" s="34">
        <v>0</v>
      </c>
      <c r="AB17" s="34">
        <v>0</v>
      </c>
      <c r="AC17" s="34">
        <f t="shared" si="5"/>
        <v>0</v>
      </c>
      <c r="AD17" s="66"/>
      <c r="AE17" s="66" t="s">
        <v>154</v>
      </c>
      <c r="AF17" s="67">
        <f t="shared" si="6"/>
        <v>0.14785200000000001</v>
      </c>
    </row>
    <row r="18" spans="2:32">
      <c r="B18" s="66" t="str">
        <f t="shared" si="2"/>
        <v>MAT001</v>
      </c>
      <c r="C18" s="66" t="str">
        <f t="shared" si="0"/>
        <v>MAT001011</v>
      </c>
      <c r="D18" s="66" t="s">
        <v>149</v>
      </c>
      <c r="E18" s="66" t="s">
        <v>150</v>
      </c>
      <c r="F18" s="66" t="s">
        <v>151</v>
      </c>
      <c r="G18" s="66" t="s">
        <v>152</v>
      </c>
      <c r="H18" s="72" t="s">
        <v>335</v>
      </c>
      <c r="I18" s="66" t="s">
        <v>164</v>
      </c>
      <c r="J18" s="66" t="str">
        <f t="shared" si="3"/>
        <v>120 x 200 x 15 cm</v>
      </c>
      <c r="K18" s="66" t="str">
        <f t="shared" si="1"/>
        <v>Nệm T&amp;N Foam 120 x 200 x 15 cm</v>
      </c>
      <c r="L18" s="66" t="str">
        <f>_xlfn.XLOOKUP(M18,'0. Mã Supplier'!$B:$B,'0. Mã Supplier'!$C:$C,0)</f>
        <v>SUVN0002</v>
      </c>
      <c r="M18" s="66" t="s">
        <v>111</v>
      </c>
      <c r="N18" s="66"/>
      <c r="O18" s="66">
        <v>15</v>
      </c>
      <c r="P18" s="66">
        <v>120</v>
      </c>
      <c r="Q18" s="66">
        <v>200</v>
      </c>
      <c r="R18" s="33">
        <v>0</v>
      </c>
      <c r="S18" s="33">
        <v>0</v>
      </c>
      <c r="T18" s="66" t="s">
        <v>153</v>
      </c>
      <c r="U18" s="34">
        <f t="shared" si="4"/>
        <v>1280</v>
      </c>
      <c r="V18" s="34">
        <v>370</v>
      </c>
      <c r="W18" s="34">
        <v>370</v>
      </c>
      <c r="X18" s="66"/>
      <c r="Y18" s="66">
        <v>5</v>
      </c>
      <c r="Z18" s="66"/>
      <c r="AA18" s="34">
        <v>0</v>
      </c>
      <c r="AB18" s="34">
        <v>0</v>
      </c>
      <c r="AC18" s="34">
        <f t="shared" si="5"/>
        <v>0</v>
      </c>
      <c r="AD18" s="66"/>
      <c r="AE18" s="66" t="s">
        <v>154</v>
      </c>
      <c r="AF18" s="67">
        <f t="shared" si="6"/>
        <v>0.175232</v>
      </c>
    </row>
    <row r="19" spans="2:32">
      <c r="B19" s="66" t="str">
        <f t="shared" si="2"/>
        <v>MAT001</v>
      </c>
      <c r="C19" s="66" t="str">
        <f t="shared" si="0"/>
        <v>MAT001012</v>
      </c>
      <c r="D19" s="66" t="s">
        <v>149</v>
      </c>
      <c r="E19" s="66" t="s">
        <v>150</v>
      </c>
      <c r="F19" s="66" t="s">
        <v>151</v>
      </c>
      <c r="G19" s="66" t="s">
        <v>152</v>
      </c>
      <c r="H19" s="72" t="s">
        <v>335</v>
      </c>
      <c r="I19" s="66" t="s">
        <v>165</v>
      </c>
      <c r="J19" s="66" t="str">
        <f t="shared" si="3"/>
        <v>140 x 200 x 15 cm</v>
      </c>
      <c r="K19" s="66" t="str">
        <f t="shared" si="1"/>
        <v>Nệm T&amp;N Foam 140 x 200 x 15 cm</v>
      </c>
      <c r="L19" s="66" t="str">
        <f>_xlfn.XLOOKUP(M19,'0. Mã Supplier'!$B:$B,'0. Mã Supplier'!$C:$C,0)</f>
        <v>SUVN0002</v>
      </c>
      <c r="M19" s="66" t="s">
        <v>111</v>
      </c>
      <c r="N19" s="66"/>
      <c r="O19" s="66">
        <v>15</v>
      </c>
      <c r="P19" s="66">
        <v>140</v>
      </c>
      <c r="Q19" s="66">
        <v>200</v>
      </c>
      <c r="R19" s="33">
        <v>0</v>
      </c>
      <c r="S19" s="33">
        <v>0</v>
      </c>
      <c r="T19" s="66" t="s">
        <v>153</v>
      </c>
      <c r="U19" s="34">
        <f t="shared" si="4"/>
        <v>1480</v>
      </c>
      <c r="V19" s="34">
        <v>370</v>
      </c>
      <c r="W19" s="34">
        <v>370</v>
      </c>
      <c r="X19" s="66"/>
      <c r="Y19" s="66">
        <v>5</v>
      </c>
      <c r="Z19" s="66"/>
      <c r="AA19" s="34">
        <v>0</v>
      </c>
      <c r="AB19" s="34">
        <v>0</v>
      </c>
      <c r="AC19" s="34">
        <f t="shared" si="5"/>
        <v>0</v>
      </c>
      <c r="AD19" s="66"/>
      <c r="AE19" s="66" t="s">
        <v>154</v>
      </c>
      <c r="AF19" s="67">
        <f t="shared" si="6"/>
        <v>0.20261199999999999</v>
      </c>
    </row>
    <row r="20" spans="2:32">
      <c r="B20" s="66" t="str">
        <f t="shared" si="2"/>
        <v>MAT001</v>
      </c>
      <c r="C20" s="66" t="str">
        <f t="shared" si="0"/>
        <v>MAT001013</v>
      </c>
      <c r="D20" s="66" t="s">
        <v>149</v>
      </c>
      <c r="E20" s="66" t="s">
        <v>150</v>
      </c>
      <c r="F20" s="66" t="s">
        <v>151</v>
      </c>
      <c r="G20" s="66" t="s">
        <v>152</v>
      </c>
      <c r="H20" s="72" t="s">
        <v>335</v>
      </c>
      <c r="I20" s="66" t="s">
        <v>166</v>
      </c>
      <c r="J20" s="66" t="str">
        <f t="shared" si="3"/>
        <v>160 x 200 x 15 cm</v>
      </c>
      <c r="K20" s="66" t="str">
        <f t="shared" si="1"/>
        <v>Nệm T&amp;N Foam 160 x 200 x 15 cm</v>
      </c>
      <c r="L20" s="66" t="str">
        <f>_xlfn.XLOOKUP(M20,'0. Mã Supplier'!$B:$B,'0. Mã Supplier'!$C:$C,0)</f>
        <v>SUVN0002</v>
      </c>
      <c r="M20" s="66" t="s">
        <v>111</v>
      </c>
      <c r="N20" s="66"/>
      <c r="O20" s="66">
        <v>15</v>
      </c>
      <c r="P20" s="66">
        <v>160</v>
      </c>
      <c r="Q20" s="66">
        <v>200</v>
      </c>
      <c r="R20" s="33">
        <v>0</v>
      </c>
      <c r="S20" s="33">
        <v>0</v>
      </c>
      <c r="T20" s="66" t="s">
        <v>153</v>
      </c>
      <c r="U20" s="34">
        <f t="shared" si="4"/>
        <v>1680</v>
      </c>
      <c r="V20" s="34">
        <v>370</v>
      </c>
      <c r="W20" s="34">
        <v>370</v>
      </c>
      <c r="X20" s="66"/>
      <c r="Y20" s="66">
        <v>5</v>
      </c>
      <c r="Z20" s="66"/>
      <c r="AA20" s="34">
        <v>0</v>
      </c>
      <c r="AB20" s="34">
        <v>1772300</v>
      </c>
      <c r="AC20" s="34">
        <f t="shared" si="5"/>
        <v>1914084.0000000002</v>
      </c>
      <c r="AD20" s="66"/>
      <c r="AE20" s="66" t="s">
        <v>154</v>
      </c>
      <c r="AF20" s="67">
        <f t="shared" si="6"/>
        <v>0.229992</v>
      </c>
    </row>
    <row r="21" spans="2:32">
      <c r="B21" s="66" t="str">
        <f t="shared" si="2"/>
        <v>MAT001</v>
      </c>
      <c r="C21" s="66" t="str">
        <f t="shared" si="0"/>
        <v>MAT001014</v>
      </c>
      <c r="D21" s="66" t="s">
        <v>149</v>
      </c>
      <c r="E21" s="66" t="s">
        <v>150</v>
      </c>
      <c r="F21" s="66" t="s">
        <v>151</v>
      </c>
      <c r="G21" s="66" t="s">
        <v>152</v>
      </c>
      <c r="H21" s="72" t="s">
        <v>335</v>
      </c>
      <c r="I21" s="66" t="s">
        <v>167</v>
      </c>
      <c r="J21" s="66" t="str">
        <f t="shared" si="3"/>
        <v>180 x 200 x 15 cm</v>
      </c>
      <c r="K21" s="66" t="str">
        <f t="shared" si="1"/>
        <v>Nệm T&amp;N Foam 180 x 200 x 15 cm</v>
      </c>
      <c r="L21" s="66" t="str">
        <f>_xlfn.XLOOKUP(M21,'0. Mã Supplier'!$B:$B,'0. Mã Supplier'!$C:$C,0)</f>
        <v>SUVN0002</v>
      </c>
      <c r="M21" s="66" t="s">
        <v>111</v>
      </c>
      <c r="N21" s="66"/>
      <c r="O21" s="66">
        <v>15</v>
      </c>
      <c r="P21" s="66">
        <v>180</v>
      </c>
      <c r="Q21" s="66">
        <v>200</v>
      </c>
      <c r="R21" s="33">
        <v>0</v>
      </c>
      <c r="S21" s="33">
        <v>0</v>
      </c>
      <c r="T21" s="66" t="s">
        <v>153</v>
      </c>
      <c r="U21" s="34">
        <f t="shared" si="4"/>
        <v>1880</v>
      </c>
      <c r="V21" s="34">
        <v>370</v>
      </c>
      <c r="W21" s="34">
        <v>370</v>
      </c>
      <c r="X21" s="66"/>
      <c r="Y21" s="66">
        <v>5</v>
      </c>
      <c r="Z21" s="66"/>
      <c r="AA21" s="34">
        <v>0</v>
      </c>
      <c r="AB21" s="34">
        <v>1979600</v>
      </c>
      <c r="AC21" s="34">
        <f t="shared" si="5"/>
        <v>2137968</v>
      </c>
      <c r="AD21" s="66"/>
      <c r="AE21" s="66" t="s">
        <v>154</v>
      </c>
      <c r="AF21" s="67">
        <f t="shared" si="6"/>
        <v>0.25737199999999999</v>
      </c>
    </row>
    <row r="22" spans="2:32">
      <c r="B22" s="66" t="str">
        <f t="shared" si="2"/>
        <v>MAT001</v>
      </c>
      <c r="C22" s="66" t="str">
        <f t="shared" si="0"/>
        <v>MAT001015</v>
      </c>
      <c r="D22" s="66" t="s">
        <v>149</v>
      </c>
      <c r="E22" s="66" t="s">
        <v>150</v>
      </c>
      <c r="F22" s="66" t="s">
        <v>151</v>
      </c>
      <c r="G22" s="66" t="s">
        <v>152</v>
      </c>
      <c r="H22" s="72" t="s">
        <v>335</v>
      </c>
      <c r="I22" s="66" t="s">
        <v>168</v>
      </c>
      <c r="J22" s="66" t="str">
        <f t="shared" si="3"/>
        <v>200 x 200 x 15 cm</v>
      </c>
      <c r="K22" s="66" t="str">
        <f t="shared" si="1"/>
        <v>Nệm T&amp;N Foam 200 x 200 x 15 cm</v>
      </c>
      <c r="L22" s="66" t="str">
        <f>_xlfn.XLOOKUP(M22,'0. Mã Supplier'!$B:$B,'0. Mã Supplier'!$C:$C,0)</f>
        <v>SUVN0002</v>
      </c>
      <c r="M22" s="66" t="s">
        <v>111</v>
      </c>
      <c r="N22" s="66"/>
      <c r="O22" s="66">
        <v>15</v>
      </c>
      <c r="P22" s="66">
        <v>200</v>
      </c>
      <c r="Q22" s="66">
        <v>200</v>
      </c>
      <c r="R22" s="33">
        <v>0</v>
      </c>
      <c r="S22" s="33">
        <v>0</v>
      </c>
      <c r="T22" s="66" t="s">
        <v>153</v>
      </c>
      <c r="U22" s="34">
        <f t="shared" si="4"/>
        <v>2080</v>
      </c>
      <c r="V22" s="34">
        <v>370</v>
      </c>
      <c r="W22" s="34">
        <v>370</v>
      </c>
      <c r="X22" s="66"/>
      <c r="Y22" s="66">
        <v>5</v>
      </c>
      <c r="Z22" s="66"/>
      <c r="AA22" s="34">
        <v>0</v>
      </c>
      <c r="AB22" s="34">
        <v>0</v>
      </c>
      <c r="AC22" s="34">
        <f t="shared" si="5"/>
        <v>0</v>
      </c>
      <c r="AD22" s="66"/>
      <c r="AE22" s="66" t="s">
        <v>154</v>
      </c>
      <c r="AF22" s="67">
        <f t="shared" si="6"/>
        <v>0.28475200000000001</v>
      </c>
    </row>
    <row r="23" spans="2:32">
      <c r="B23" s="66" t="str">
        <f t="shared" si="2"/>
        <v>MAT001</v>
      </c>
      <c r="C23" s="66" t="str">
        <f t="shared" si="0"/>
        <v>MAT001016</v>
      </c>
      <c r="D23" s="66" t="s">
        <v>149</v>
      </c>
      <c r="E23" s="66" t="s">
        <v>150</v>
      </c>
      <c r="F23" s="66" t="s">
        <v>151</v>
      </c>
      <c r="G23" s="66" t="s">
        <v>152</v>
      </c>
      <c r="H23" s="72" t="s">
        <v>335</v>
      </c>
      <c r="I23" s="66" t="s">
        <v>169</v>
      </c>
      <c r="J23" s="66" t="str">
        <f t="shared" si="3"/>
        <v>200 x 220 x 15 cm</v>
      </c>
      <c r="K23" s="66" t="str">
        <f t="shared" si="1"/>
        <v>Nệm T&amp;N Foam 200 x 220 x 15 cm</v>
      </c>
      <c r="L23" s="66" t="str">
        <f>_xlfn.XLOOKUP(M23,'0. Mã Supplier'!$B:$B,'0. Mã Supplier'!$C:$C,0)</f>
        <v>SUVN0002</v>
      </c>
      <c r="M23" s="66" t="s">
        <v>111</v>
      </c>
      <c r="N23" s="66"/>
      <c r="O23" s="66">
        <v>15</v>
      </c>
      <c r="P23" s="66">
        <v>200</v>
      </c>
      <c r="Q23" s="66">
        <v>220</v>
      </c>
      <c r="R23" s="33">
        <v>0</v>
      </c>
      <c r="S23" s="33">
        <v>0</v>
      </c>
      <c r="T23" s="66" t="s">
        <v>153</v>
      </c>
      <c r="U23" s="34">
        <f t="shared" si="4"/>
        <v>2080</v>
      </c>
      <c r="V23" s="34">
        <v>370</v>
      </c>
      <c r="W23" s="34">
        <v>370</v>
      </c>
      <c r="X23" s="66"/>
      <c r="Y23" s="66">
        <v>5</v>
      </c>
      <c r="Z23" s="66"/>
      <c r="AA23" s="34">
        <v>0</v>
      </c>
      <c r="AB23" s="34">
        <v>0</v>
      </c>
      <c r="AC23" s="34">
        <f t="shared" si="5"/>
        <v>0</v>
      </c>
      <c r="AD23" s="66"/>
      <c r="AE23" s="66" t="s">
        <v>154</v>
      </c>
      <c r="AF23" s="67">
        <f t="shared" si="6"/>
        <v>0.28475200000000001</v>
      </c>
    </row>
    <row r="24" spans="2:32">
      <c r="B24" s="66" t="str">
        <f t="shared" si="2"/>
        <v>MAT001</v>
      </c>
      <c r="C24" s="66" t="str">
        <f t="shared" si="0"/>
        <v>MAT001017</v>
      </c>
      <c r="D24" s="66" t="s">
        <v>149</v>
      </c>
      <c r="E24" s="66" t="s">
        <v>150</v>
      </c>
      <c r="F24" s="66" t="s">
        <v>151</v>
      </c>
      <c r="G24" s="66" t="s">
        <v>152</v>
      </c>
      <c r="H24" s="72" t="s">
        <v>335</v>
      </c>
      <c r="I24" s="66" t="s">
        <v>170</v>
      </c>
      <c r="J24" s="66" t="str">
        <f t="shared" si="3"/>
        <v>80 x 200 x 20 cm</v>
      </c>
      <c r="K24" s="66" t="str">
        <f t="shared" si="1"/>
        <v>Nệm T&amp;N Foam 80 x 200 x 20 cm</v>
      </c>
      <c r="L24" s="66" t="str">
        <f>_xlfn.XLOOKUP(M24,'0. Mã Supplier'!$B:$B,'0. Mã Supplier'!$C:$C,0)</f>
        <v>SUVN0002</v>
      </c>
      <c r="M24" s="66" t="s">
        <v>111</v>
      </c>
      <c r="N24" s="66"/>
      <c r="O24" s="66">
        <v>20</v>
      </c>
      <c r="P24" s="66">
        <v>80</v>
      </c>
      <c r="Q24" s="66">
        <v>200</v>
      </c>
      <c r="R24" s="33">
        <v>0</v>
      </c>
      <c r="S24" s="33">
        <v>0</v>
      </c>
      <c r="T24" s="66" t="s">
        <v>153</v>
      </c>
      <c r="U24" s="34">
        <f t="shared" si="4"/>
        <v>880</v>
      </c>
      <c r="V24" s="34">
        <v>370</v>
      </c>
      <c r="W24" s="34">
        <v>370</v>
      </c>
      <c r="X24" s="66"/>
      <c r="Y24" s="66">
        <v>5</v>
      </c>
      <c r="Z24" s="66"/>
      <c r="AA24" s="34">
        <v>0</v>
      </c>
      <c r="AB24" s="34">
        <v>0</v>
      </c>
      <c r="AC24" s="34">
        <f t="shared" si="5"/>
        <v>0</v>
      </c>
      <c r="AD24" s="66"/>
      <c r="AE24" s="66" t="s">
        <v>154</v>
      </c>
      <c r="AF24" s="67">
        <f t="shared" si="6"/>
        <v>0.120472</v>
      </c>
    </row>
    <row r="25" spans="2:32">
      <c r="B25" s="66" t="str">
        <f t="shared" si="2"/>
        <v>MAT001</v>
      </c>
      <c r="C25" s="66" t="str">
        <f t="shared" si="0"/>
        <v>MAT001018</v>
      </c>
      <c r="D25" s="66" t="s">
        <v>149</v>
      </c>
      <c r="E25" s="66" t="s">
        <v>150</v>
      </c>
      <c r="F25" s="66" t="s">
        <v>151</v>
      </c>
      <c r="G25" s="66" t="s">
        <v>152</v>
      </c>
      <c r="H25" s="72" t="s">
        <v>335</v>
      </c>
      <c r="I25" s="66" t="s">
        <v>171</v>
      </c>
      <c r="J25" s="66" t="str">
        <f t="shared" si="3"/>
        <v>100 x 200 x 20 cm</v>
      </c>
      <c r="K25" s="66" t="str">
        <f t="shared" si="1"/>
        <v>Nệm T&amp;N Foam 100 x 200 x 20 cm</v>
      </c>
      <c r="L25" s="66" t="str">
        <f>_xlfn.XLOOKUP(M25,'0. Mã Supplier'!$B:$B,'0. Mã Supplier'!$C:$C,0)</f>
        <v>SUVN0002</v>
      </c>
      <c r="M25" s="66" t="s">
        <v>111</v>
      </c>
      <c r="N25" s="66"/>
      <c r="O25" s="66">
        <v>20</v>
      </c>
      <c r="P25" s="66">
        <v>100</v>
      </c>
      <c r="Q25" s="66">
        <v>200</v>
      </c>
      <c r="R25" s="33">
        <v>0</v>
      </c>
      <c r="S25" s="33">
        <v>0</v>
      </c>
      <c r="T25" s="66" t="s">
        <v>153</v>
      </c>
      <c r="U25" s="34">
        <f t="shared" si="4"/>
        <v>1080</v>
      </c>
      <c r="V25" s="34">
        <v>370</v>
      </c>
      <c r="W25" s="34">
        <v>370</v>
      </c>
      <c r="X25" s="66"/>
      <c r="Y25" s="66">
        <v>5</v>
      </c>
      <c r="Z25" s="66"/>
      <c r="AA25" s="34">
        <v>0</v>
      </c>
      <c r="AB25" s="34">
        <v>0</v>
      </c>
      <c r="AC25" s="34">
        <f t="shared" si="5"/>
        <v>0</v>
      </c>
      <c r="AD25" s="66"/>
      <c r="AE25" s="66" t="s">
        <v>154</v>
      </c>
      <c r="AF25" s="67">
        <f t="shared" si="6"/>
        <v>0.14785200000000001</v>
      </c>
    </row>
    <row r="26" spans="2:32">
      <c r="B26" s="66" t="str">
        <f t="shared" si="2"/>
        <v>MAT001</v>
      </c>
      <c r="C26" s="66" t="str">
        <f t="shared" si="0"/>
        <v>MAT001019</v>
      </c>
      <c r="D26" s="66" t="s">
        <v>149</v>
      </c>
      <c r="E26" s="66" t="s">
        <v>150</v>
      </c>
      <c r="F26" s="66" t="s">
        <v>151</v>
      </c>
      <c r="G26" s="66" t="s">
        <v>152</v>
      </c>
      <c r="H26" s="72" t="s">
        <v>335</v>
      </c>
      <c r="I26" s="66" t="s">
        <v>172</v>
      </c>
      <c r="J26" s="66" t="str">
        <f t="shared" si="3"/>
        <v>120 x 200 x 20 cm</v>
      </c>
      <c r="K26" s="66" t="str">
        <f t="shared" si="1"/>
        <v>Nệm T&amp;N Foam 120 x 200 x 20 cm</v>
      </c>
      <c r="L26" s="66" t="str">
        <f>_xlfn.XLOOKUP(M26,'0. Mã Supplier'!$B:$B,'0. Mã Supplier'!$C:$C,0)</f>
        <v>SUVN0002</v>
      </c>
      <c r="M26" s="66" t="s">
        <v>111</v>
      </c>
      <c r="N26" s="66"/>
      <c r="O26" s="66">
        <v>20</v>
      </c>
      <c r="P26" s="66">
        <v>120</v>
      </c>
      <c r="Q26" s="66">
        <v>200</v>
      </c>
      <c r="R26" s="33">
        <v>0</v>
      </c>
      <c r="S26" s="33">
        <v>0</v>
      </c>
      <c r="T26" s="66" t="s">
        <v>153</v>
      </c>
      <c r="U26" s="34">
        <f t="shared" si="4"/>
        <v>1280</v>
      </c>
      <c r="V26" s="34">
        <v>370</v>
      </c>
      <c r="W26" s="34">
        <v>370</v>
      </c>
      <c r="X26" s="66"/>
      <c r="Y26" s="66">
        <v>5</v>
      </c>
      <c r="Z26" s="66"/>
      <c r="AA26" s="34">
        <v>0</v>
      </c>
      <c r="AB26" s="34">
        <v>0</v>
      </c>
      <c r="AC26" s="34">
        <f t="shared" si="5"/>
        <v>0</v>
      </c>
      <c r="AD26" s="66"/>
      <c r="AE26" s="66" t="s">
        <v>154</v>
      </c>
      <c r="AF26" s="67">
        <f t="shared" si="6"/>
        <v>0.175232</v>
      </c>
    </row>
    <row r="27" spans="2:32">
      <c r="B27" s="66" t="str">
        <f t="shared" si="2"/>
        <v>MAT001</v>
      </c>
      <c r="C27" s="66" t="str">
        <f t="shared" si="0"/>
        <v>MAT001020</v>
      </c>
      <c r="D27" s="66" t="s">
        <v>149</v>
      </c>
      <c r="E27" s="66" t="s">
        <v>150</v>
      </c>
      <c r="F27" s="66" t="s">
        <v>151</v>
      </c>
      <c r="G27" s="66" t="s">
        <v>152</v>
      </c>
      <c r="H27" s="72" t="s">
        <v>335</v>
      </c>
      <c r="I27" s="66" t="s">
        <v>173</v>
      </c>
      <c r="J27" s="66" t="str">
        <f t="shared" si="3"/>
        <v>140 x 200 x 20 cm</v>
      </c>
      <c r="K27" s="66" t="str">
        <f t="shared" si="1"/>
        <v>Nệm T&amp;N Foam 140 x 200 x 20 cm</v>
      </c>
      <c r="L27" s="66" t="str">
        <f>_xlfn.XLOOKUP(M27,'0. Mã Supplier'!$B:$B,'0. Mã Supplier'!$C:$C,0)</f>
        <v>SUVN0002</v>
      </c>
      <c r="M27" s="66" t="s">
        <v>111</v>
      </c>
      <c r="N27" s="66"/>
      <c r="O27" s="66">
        <v>20</v>
      </c>
      <c r="P27" s="66">
        <v>140</v>
      </c>
      <c r="Q27" s="66">
        <v>200</v>
      </c>
      <c r="R27" s="33">
        <v>0</v>
      </c>
      <c r="S27" s="33">
        <v>0</v>
      </c>
      <c r="T27" s="66" t="s">
        <v>153</v>
      </c>
      <c r="U27" s="34">
        <f t="shared" si="4"/>
        <v>1480</v>
      </c>
      <c r="V27" s="34">
        <v>370</v>
      </c>
      <c r="W27" s="34">
        <v>370</v>
      </c>
      <c r="X27" s="66"/>
      <c r="Y27" s="66">
        <v>5</v>
      </c>
      <c r="Z27" s="66"/>
      <c r="AA27" s="34">
        <v>0</v>
      </c>
      <c r="AB27" s="34">
        <v>0</v>
      </c>
      <c r="AC27" s="34">
        <f t="shared" si="5"/>
        <v>0</v>
      </c>
      <c r="AD27" s="66"/>
      <c r="AE27" s="66" t="s">
        <v>154</v>
      </c>
      <c r="AF27" s="67">
        <f t="shared" si="6"/>
        <v>0.20261199999999999</v>
      </c>
    </row>
    <row r="28" spans="2:32">
      <c r="B28" s="66" t="str">
        <f t="shared" si="2"/>
        <v>MAT001</v>
      </c>
      <c r="C28" s="66" t="str">
        <f t="shared" si="0"/>
        <v>MAT001021</v>
      </c>
      <c r="D28" s="66" t="s">
        <v>149</v>
      </c>
      <c r="E28" s="66" t="s">
        <v>150</v>
      </c>
      <c r="F28" s="66" t="s">
        <v>151</v>
      </c>
      <c r="G28" s="66" t="s">
        <v>152</v>
      </c>
      <c r="H28" s="72" t="s">
        <v>335</v>
      </c>
      <c r="I28" s="66" t="s">
        <v>174</v>
      </c>
      <c r="J28" s="66" t="str">
        <f t="shared" si="3"/>
        <v>160 x 200 x 20 cm</v>
      </c>
      <c r="K28" s="66" t="str">
        <f t="shared" si="1"/>
        <v>Nệm T&amp;N Foam 160 x 200 x 20 cm</v>
      </c>
      <c r="L28" s="66" t="str">
        <f>_xlfn.XLOOKUP(M28,'0. Mã Supplier'!$B:$B,'0. Mã Supplier'!$C:$C,0)</f>
        <v>SUVN0002</v>
      </c>
      <c r="M28" s="66" t="s">
        <v>111</v>
      </c>
      <c r="N28" s="66"/>
      <c r="O28" s="66">
        <v>20</v>
      </c>
      <c r="P28" s="66">
        <v>160</v>
      </c>
      <c r="Q28" s="66">
        <v>200</v>
      </c>
      <c r="R28" s="33">
        <v>0</v>
      </c>
      <c r="S28" s="33">
        <v>0</v>
      </c>
      <c r="T28" s="66" t="s">
        <v>153</v>
      </c>
      <c r="U28" s="34">
        <f t="shared" si="4"/>
        <v>1680</v>
      </c>
      <c r="V28" s="34">
        <v>370</v>
      </c>
      <c r="W28" s="34">
        <v>370</v>
      </c>
      <c r="X28" s="66"/>
      <c r="Y28" s="66">
        <v>5</v>
      </c>
      <c r="Z28" s="66"/>
      <c r="AA28" s="34">
        <v>0</v>
      </c>
      <c r="AB28" s="34">
        <v>2265800</v>
      </c>
      <c r="AC28" s="34">
        <f t="shared" si="5"/>
        <v>2447064</v>
      </c>
      <c r="AD28" s="66"/>
      <c r="AE28" s="66" t="s">
        <v>154</v>
      </c>
      <c r="AF28" s="67">
        <f t="shared" si="6"/>
        <v>0.229992</v>
      </c>
    </row>
    <row r="29" spans="2:32">
      <c r="B29" s="66" t="str">
        <f t="shared" si="2"/>
        <v>MAT001</v>
      </c>
      <c r="C29" s="66" t="str">
        <f t="shared" si="0"/>
        <v>MAT001022</v>
      </c>
      <c r="D29" s="66" t="s">
        <v>149</v>
      </c>
      <c r="E29" s="66" t="s">
        <v>150</v>
      </c>
      <c r="F29" s="66" t="s">
        <v>151</v>
      </c>
      <c r="G29" s="66" t="s">
        <v>152</v>
      </c>
      <c r="H29" s="72" t="s">
        <v>335</v>
      </c>
      <c r="I29" s="66" t="s">
        <v>175</v>
      </c>
      <c r="J29" s="66" t="str">
        <f t="shared" si="3"/>
        <v>180 x 200 x 20 cm</v>
      </c>
      <c r="K29" s="66" t="str">
        <f t="shared" si="1"/>
        <v>Nệm T&amp;N Foam 180 x 200 x 20 cm</v>
      </c>
      <c r="L29" s="66" t="str">
        <f>_xlfn.XLOOKUP(M29,'0. Mã Supplier'!$B:$B,'0. Mã Supplier'!$C:$C,0)</f>
        <v>SUVN0002</v>
      </c>
      <c r="M29" s="66" t="s">
        <v>111</v>
      </c>
      <c r="N29" s="66"/>
      <c r="O29" s="66">
        <v>20</v>
      </c>
      <c r="P29" s="66">
        <v>180</v>
      </c>
      <c r="Q29" s="66">
        <v>200</v>
      </c>
      <c r="R29" s="33">
        <v>0</v>
      </c>
      <c r="S29" s="33">
        <v>0</v>
      </c>
      <c r="T29" s="66" t="s">
        <v>153</v>
      </c>
      <c r="U29" s="34">
        <f t="shared" si="4"/>
        <v>1880</v>
      </c>
      <c r="V29" s="34">
        <v>370</v>
      </c>
      <c r="W29" s="34">
        <v>370</v>
      </c>
      <c r="X29" s="66"/>
      <c r="Y29" s="66">
        <v>5</v>
      </c>
      <c r="Z29" s="66"/>
      <c r="AA29" s="34">
        <v>0</v>
      </c>
      <c r="AB29" s="34">
        <v>2531500</v>
      </c>
      <c r="AC29" s="34">
        <f t="shared" si="5"/>
        <v>2734020</v>
      </c>
      <c r="AD29" s="66"/>
      <c r="AE29" s="66" t="s">
        <v>154</v>
      </c>
      <c r="AF29" s="67">
        <f t="shared" si="6"/>
        <v>0.25737199999999999</v>
      </c>
    </row>
    <row r="30" spans="2:32">
      <c r="B30" s="66" t="str">
        <f t="shared" si="2"/>
        <v>MAT001</v>
      </c>
      <c r="C30" s="66" t="str">
        <f t="shared" si="0"/>
        <v>MAT001023</v>
      </c>
      <c r="D30" s="66" t="s">
        <v>149</v>
      </c>
      <c r="E30" s="66" t="s">
        <v>150</v>
      </c>
      <c r="F30" s="66" t="s">
        <v>151</v>
      </c>
      <c r="G30" s="66" t="s">
        <v>152</v>
      </c>
      <c r="H30" s="72" t="s">
        <v>335</v>
      </c>
      <c r="I30" s="66" t="s">
        <v>176</v>
      </c>
      <c r="J30" s="66" t="str">
        <f t="shared" si="3"/>
        <v>200 x 200 x 20 cm</v>
      </c>
      <c r="K30" s="66" t="str">
        <f t="shared" si="1"/>
        <v>Nệm T&amp;N Foam 200 x 200 x 20 cm</v>
      </c>
      <c r="L30" s="66" t="str">
        <f>_xlfn.XLOOKUP(M30,'0. Mã Supplier'!$B:$B,'0. Mã Supplier'!$C:$C,0)</f>
        <v>SUVN0002</v>
      </c>
      <c r="M30" s="66" t="s">
        <v>111</v>
      </c>
      <c r="N30" s="66"/>
      <c r="O30" s="66">
        <v>20</v>
      </c>
      <c r="P30" s="66">
        <v>200</v>
      </c>
      <c r="Q30" s="66">
        <v>200</v>
      </c>
      <c r="R30" s="33">
        <v>0</v>
      </c>
      <c r="S30" s="33">
        <v>0</v>
      </c>
      <c r="T30" s="66" t="s">
        <v>153</v>
      </c>
      <c r="U30" s="34">
        <f t="shared" si="4"/>
        <v>2080</v>
      </c>
      <c r="V30" s="34">
        <v>370</v>
      </c>
      <c r="W30" s="34">
        <v>370</v>
      </c>
      <c r="X30" s="66"/>
      <c r="Y30" s="66">
        <v>5</v>
      </c>
      <c r="Z30" s="66"/>
      <c r="AA30" s="34">
        <v>0</v>
      </c>
      <c r="AB30" s="34">
        <v>0</v>
      </c>
      <c r="AC30" s="34">
        <f t="shared" si="5"/>
        <v>0</v>
      </c>
      <c r="AD30" s="66"/>
      <c r="AE30" s="66" t="s">
        <v>154</v>
      </c>
      <c r="AF30" s="67">
        <f t="shared" si="6"/>
        <v>0.28475200000000001</v>
      </c>
    </row>
    <row r="31" spans="2:32">
      <c r="B31" s="66" t="str">
        <f t="shared" si="2"/>
        <v>MAT001</v>
      </c>
      <c r="C31" s="66" t="str">
        <f t="shared" si="0"/>
        <v>MAT001024</v>
      </c>
      <c r="D31" s="66" t="s">
        <v>149</v>
      </c>
      <c r="E31" s="66" t="s">
        <v>150</v>
      </c>
      <c r="F31" s="66" t="s">
        <v>151</v>
      </c>
      <c r="G31" s="66" t="s">
        <v>152</v>
      </c>
      <c r="H31" s="72" t="s">
        <v>335</v>
      </c>
      <c r="I31" s="66" t="s">
        <v>177</v>
      </c>
      <c r="J31" s="66" t="str">
        <f t="shared" si="3"/>
        <v>200 x 220 x 20 cm</v>
      </c>
      <c r="K31" s="66" t="str">
        <f t="shared" si="1"/>
        <v>Nệm T&amp;N Foam 200 x 220 x 20 cm</v>
      </c>
      <c r="L31" s="66" t="str">
        <f>_xlfn.XLOOKUP(M31,'0. Mã Supplier'!$B:$B,'0. Mã Supplier'!$C:$C,0)</f>
        <v>SUVN0002</v>
      </c>
      <c r="M31" s="66" t="s">
        <v>111</v>
      </c>
      <c r="N31" s="66"/>
      <c r="O31" s="66">
        <v>20</v>
      </c>
      <c r="P31" s="66">
        <v>200</v>
      </c>
      <c r="Q31" s="66">
        <v>220</v>
      </c>
      <c r="R31" s="33">
        <v>0</v>
      </c>
      <c r="S31" s="33">
        <v>0</v>
      </c>
      <c r="T31" s="66" t="s">
        <v>153</v>
      </c>
      <c r="U31" s="34">
        <f t="shared" si="4"/>
        <v>2080</v>
      </c>
      <c r="V31" s="34">
        <v>370</v>
      </c>
      <c r="W31" s="34">
        <v>370</v>
      </c>
      <c r="X31" s="66"/>
      <c r="Y31" s="66">
        <v>5</v>
      </c>
      <c r="Z31" s="66"/>
      <c r="AA31" s="34">
        <v>0</v>
      </c>
      <c r="AB31" s="34">
        <v>0</v>
      </c>
      <c r="AC31" s="34">
        <f t="shared" si="5"/>
        <v>0</v>
      </c>
      <c r="AD31" s="66"/>
      <c r="AE31" s="66" t="s">
        <v>154</v>
      </c>
      <c r="AF31" s="67">
        <f t="shared" si="6"/>
        <v>0.28475200000000001</v>
      </c>
    </row>
    <row r="32" spans="2:32">
      <c r="B32" s="66" t="str">
        <f t="shared" si="2"/>
        <v>MAT002</v>
      </c>
      <c r="C32" s="66" t="str">
        <f t="shared" si="0"/>
        <v>MAT002001</v>
      </c>
      <c r="D32" s="66" t="s">
        <v>149</v>
      </c>
      <c r="E32" s="66" t="s">
        <v>150</v>
      </c>
      <c r="F32" s="66" t="s">
        <v>155</v>
      </c>
      <c r="G32" s="66" t="s">
        <v>178</v>
      </c>
      <c r="H32" s="72" t="s">
        <v>336</v>
      </c>
      <c r="I32" s="66" t="s">
        <v>151</v>
      </c>
      <c r="J32" s="66" t="str">
        <f t="shared" si="3"/>
        <v>80 x 200 x 25 cm</v>
      </c>
      <c r="K32" s="66" t="str">
        <f t="shared" si="1"/>
        <v>Nệm Hybrid 80 x 200 x 25 cm</v>
      </c>
      <c r="L32" s="66" t="str">
        <f>_xlfn.XLOOKUP(M32,'0. Mã Supplier'!$B:$B,'0. Mã Supplier'!$C:$C,0)</f>
        <v>SUVN0003</v>
      </c>
      <c r="M32" s="66" t="s">
        <v>114</v>
      </c>
      <c r="N32" s="66"/>
      <c r="O32" s="66">
        <v>25</v>
      </c>
      <c r="P32" s="66">
        <v>80</v>
      </c>
      <c r="Q32" s="66">
        <v>200</v>
      </c>
      <c r="R32" s="33">
        <v>0</v>
      </c>
      <c r="S32" s="33">
        <v>0</v>
      </c>
      <c r="T32" s="66" t="s">
        <v>153</v>
      </c>
      <c r="U32" s="34"/>
      <c r="V32" s="34">
        <v>0</v>
      </c>
      <c r="W32" s="34"/>
      <c r="X32" s="66"/>
      <c r="Y32" s="66">
        <v>5</v>
      </c>
      <c r="Z32" s="66"/>
      <c r="AA32" s="34">
        <v>0</v>
      </c>
      <c r="AB32" s="34">
        <v>0</v>
      </c>
      <c r="AC32" s="34">
        <f t="shared" si="5"/>
        <v>0</v>
      </c>
      <c r="AD32" s="66"/>
      <c r="AE32" s="66" t="s">
        <v>154</v>
      </c>
      <c r="AF32" s="66"/>
    </row>
    <row r="33" spans="2:32">
      <c r="B33" s="66" t="str">
        <f t="shared" si="2"/>
        <v>MAT002</v>
      </c>
      <c r="C33" s="66" t="str">
        <f t="shared" si="0"/>
        <v>MAT002002</v>
      </c>
      <c r="D33" s="66" t="s">
        <v>149</v>
      </c>
      <c r="E33" s="66" t="s">
        <v>150</v>
      </c>
      <c r="F33" s="66" t="s">
        <v>155</v>
      </c>
      <c r="G33" s="66" t="s">
        <v>178</v>
      </c>
      <c r="H33" s="72" t="s">
        <v>336</v>
      </c>
      <c r="I33" s="66" t="s">
        <v>155</v>
      </c>
      <c r="J33" s="66" t="str">
        <f t="shared" si="3"/>
        <v>100 x 200 x 25 cm</v>
      </c>
      <c r="K33" s="66" t="str">
        <f t="shared" si="1"/>
        <v>Nệm Hybrid 100 x 200 x 25 cm</v>
      </c>
      <c r="L33" s="66" t="str">
        <f>_xlfn.XLOOKUP(M33,'0. Mã Supplier'!$B:$B,'0. Mã Supplier'!$C:$C,0)</f>
        <v>SUVN0003</v>
      </c>
      <c r="M33" s="66" t="s">
        <v>114</v>
      </c>
      <c r="N33" s="66"/>
      <c r="O33" s="66">
        <v>25</v>
      </c>
      <c r="P33" s="66">
        <v>100</v>
      </c>
      <c r="Q33" s="66">
        <v>200</v>
      </c>
      <c r="R33" s="33">
        <v>0</v>
      </c>
      <c r="S33" s="33">
        <v>0</v>
      </c>
      <c r="T33" s="66" t="s">
        <v>153</v>
      </c>
      <c r="U33" s="34"/>
      <c r="V33" s="34">
        <v>0</v>
      </c>
      <c r="W33" s="34"/>
      <c r="X33" s="66"/>
      <c r="Y33" s="66">
        <v>5</v>
      </c>
      <c r="Z33" s="66"/>
      <c r="AA33" s="34">
        <v>0</v>
      </c>
      <c r="AB33" s="34">
        <v>0</v>
      </c>
      <c r="AC33" s="34">
        <f t="shared" si="5"/>
        <v>0</v>
      </c>
      <c r="AD33" s="66"/>
      <c r="AE33" s="66" t="s">
        <v>154</v>
      </c>
      <c r="AF33" s="66"/>
    </row>
    <row r="34" spans="2:32">
      <c r="B34" s="66" t="str">
        <f t="shared" si="2"/>
        <v>MAT002</v>
      </c>
      <c r="C34" s="66" t="str">
        <f t="shared" si="0"/>
        <v>MAT002003</v>
      </c>
      <c r="D34" s="66" t="s">
        <v>149</v>
      </c>
      <c r="E34" s="66" t="s">
        <v>150</v>
      </c>
      <c r="F34" s="66" t="s">
        <v>155</v>
      </c>
      <c r="G34" s="66" t="s">
        <v>178</v>
      </c>
      <c r="H34" s="72" t="s">
        <v>336</v>
      </c>
      <c r="I34" s="66" t="s">
        <v>156</v>
      </c>
      <c r="J34" s="66" t="str">
        <f t="shared" si="3"/>
        <v>120 x 200 x 25 cm</v>
      </c>
      <c r="K34" s="66" t="str">
        <f t="shared" si="1"/>
        <v>Nệm Hybrid 120 x 200 x 25 cm</v>
      </c>
      <c r="L34" s="66" t="str">
        <f>_xlfn.XLOOKUP(M34,'0. Mã Supplier'!$B:$B,'0. Mã Supplier'!$C:$C,0)</f>
        <v>SUVN0003</v>
      </c>
      <c r="M34" s="66" t="s">
        <v>114</v>
      </c>
      <c r="N34" s="66"/>
      <c r="O34" s="66">
        <v>25</v>
      </c>
      <c r="P34" s="66">
        <v>120</v>
      </c>
      <c r="Q34" s="66">
        <v>200</v>
      </c>
      <c r="R34" s="33">
        <v>0</v>
      </c>
      <c r="S34" s="33">
        <v>0</v>
      </c>
      <c r="T34" s="66" t="s">
        <v>153</v>
      </c>
      <c r="U34" s="34"/>
      <c r="V34" s="34">
        <v>0</v>
      </c>
      <c r="W34" s="34"/>
      <c r="X34" s="66"/>
      <c r="Y34" s="66">
        <v>5</v>
      </c>
      <c r="Z34" s="66"/>
      <c r="AA34" s="34">
        <v>0</v>
      </c>
      <c r="AB34" s="34">
        <v>1641010</v>
      </c>
      <c r="AC34" s="34">
        <f t="shared" si="5"/>
        <v>1772290.8</v>
      </c>
      <c r="AD34" s="66"/>
      <c r="AE34" s="66" t="s">
        <v>154</v>
      </c>
      <c r="AF34" s="66"/>
    </row>
    <row r="35" spans="2:32">
      <c r="B35" s="66" t="str">
        <f t="shared" si="2"/>
        <v>MAT002</v>
      </c>
      <c r="C35" s="66" t="str">
        <f t="shared" si="0"/>
        <v>MAT002004</v>
      </c>
      <c r="D35" s="66" t="s">
        <v>149</v>
      </c>
      <c r="E35" s="66" t="s">
        <v>150</v>
      </c>
      <c r="F35" s="66" t="s">
        <v>155</v>
      </c>
      <c r="G35" s="66" t="s">
        <v>178</v>
      </c>
      <c r="H35" s="72" t="s">
        <v>336</v>
      </c>
      <c r="I35" s="66" t="s">
        <v>157</v>
      </c>
      <c r="J35" s="66" t="str">
        <f t="shared" si="3"/>
        <v>140 x 200 x 25 cm</v>
      </c>
      <c r="K35" s="66" t="str">
        <f t="shared" si="1"/>
        <v>Nệm Hybrid 140 x 200 x 25 cm</v>
      </c>
      <c r="L35" s="66" t="str">
        <f>_xlfn.XLOOKUP(M35,'0. Mã Supplier'!$B:$B,'0. Mã Supplier'!$C:$C,0)</f>
        <v>SUVN0003</v>
      </c>
      <c r="M35" s="66" t="s">
        <v>114</v>
      </c>
      <c r="N35" s="66"/>
      <c r="O35" s="66">
        <v>25</v>
      </c>
      <c r="P35" s="66">
        <v>140</v>
      </c>
      <c r="Q35" s="66">
        <v>200</v>
      </c>
      <c r="R35" s="33">
        <v>0</v>
      </c>
      <c r="S35" s="33">
        <v>0</v>
      </c>
      <c r="T35" s="66" t="s">
        <v>153</v>
      </c>
      <c r="U35" s="34"/>
      <c r="V35" s="34">
        <v>0</v>
      </c>
      <c r="W35" s="34"/>
      <c r="X35" s="66"/>
      <c r="Y35" s="66">
        <v>5</v>
      </c>
      <c r="Z35" s="66"/>
      <c r="AA35" s="34">
        <v>0</v>
      </c>
      <c r="AB35" s="34">
        <v>0</v>
      </c>
      <c r="AC35" s="34">
        <f t="shared" si="5"/>
        <v>0</v>
      </c>
      <c r="AD35" s="66"/>
      <c r="AE35" s="66" t="s">
        <v>154</v>
      </c>
      <c r="AF35" s="66"/>
    </row>
    <row r="36" spans="2:32">
      <c r="B36" s="66" t="str">
        <f t="shared" si="2"/>
        <v>MAT002</v>
      </c>
      <c r="C36" s="66" t="str">
        <f t="shared" si="0"/>
        <v>MAT002005</v>
      </c>
      <c r="D36" s="66" t="s">
        <v>149</v>
      </c>
      <c r="E36" s="66" t="s">
        <v>150</v>
      </c>
      <c r="F36" s="66" t="s">
        <v>155</v>
      </c>
      <c r="G36" s="66" t="s">
        <v>178</v>
      </c>
      <c r="H36" s="72" t="s">
        <v>336</v>
      </c>
      <c r="I36" s="66" t="s">
        <v>158</v>
      </c>
      <c r="J36" s="66" t="str">
        <f t="shared" si="3"/>
        <v>160 x 200 x 25 cm</v>
      </c>
      <c r="K36" s="66" t="str">
        <f t="shared" si="1"/>
        <v>Nệm Hybrid 160 x 200 x 25 cm</v>
      </c>
      <c r="L36" s="66" t="str">
        <f>_xlfn.XLOOKUP(M36,'0. Mã Supplier'!$B:$B,'0. Mã Supplier'!$C:$C,0)</f>
        <v>SUVN0003</v>
      </c>
      <c r="M36" s="66" t="s">
        <v>114</v>
      </c>
      <c r="N36" s="66"/>
      <c r="O36" s="66">
        <v>25</v>
      </c>
      <c r="P36" s="66">
        <v>160</v>
      </c>
      <c r="Q36" s="66">
        <v>200</v>
      </c>
      <c r="R36" s="33">
        <v>0</v>
      </c>
      <c r="S36" s="33">
        <v>0</v>
      </c>
      <c r="T36" s="66" t="s">
        <v>153</v>
      </c>
      <c r="U36" s="34"/>
      <c r="V36" s="34">
        <v>0</v>
      </c>
      <c r="W36" s="34"/>
      <c r="X36" s="66"/>
      <c r="Y36" s="66">
        <v>5</v>
      </c>
      <c r="Z36" s="66"/>
      <c r="AA36" s="34">
        <v>0</v>
      </c>
      <c r="AB36" s="34">
        <v>2229010</v>
      </c>
      <c r="AC36" s="34">
        <f t="shared" si="5"/>
        <v>2407330.8000000003</v>
      </c>
      <c r="AD36" s="66"/>
      <c r="AE36" s="66" t="s">
        <v>154</v>
      </c>
      <c r="AF36" s="66"/>
    </row>
    <row r="37" spans="2:32">
      <c r="B37" s="66" t="str">
        <f t="shared" si="2"/>
        <v>MAT002</v>
      </c>
      <c r="C37" s="66" t="str">
        <f t="shared" si="0"/>
        <v>MAT002006</v>
      </c>
      <c r="D37" s="66" t="s">
        <v>149</v>
      </c>
      <c r="E37" s="66" t="s">
        <v>150</v>
      </c>
      <c r="F37" s="66" t="s">
        <v>155</v>
      </c>
      <c r="G37" s="66" t="s">
        <v>178</v>
      </c>
      <c r="H37" s="72" t="s">
        <v>336</v>
      </c>
      <c r="I37" s="66" t="s">
        <v>159</v>
      </c>
      <c r="J37" s="66" t="str">
        <f t="shared" si="3"/>
        <v>180 x 200 x 25 cm</v>
      </c>
      <c r="K37" s="66" t="str">
        <f t="shared" si="1"/>
        <v>Nệm Hybrid 180 x 200 x 25 cm</v>
      </c>
      <c r="L37" s="66" t="str">
        <f>_xlfn.XLOOKUP(M37,'0. Mã Supplier'!$B:$B,'0. Mã Supplier'!$C:$C,0)</f>
        <v>SUVN0003</v>
      </c>
      <c r="M37" s="66" t="s">
        <v>114</v>
      </c>
      <c r="N37" s="66"/>
      <c r="O37" s="66">
        <v>25</v>
      </c>
      <c r="P37" s="66">
        <v>180</v>
      </c>
      <c r="Q37" s="66">
        <v>200</v>
      </c>
      <c r="R37" s="33">
        <v>0</v>
      </c>
      <c r="S37" s="33">
        <v>0</v>
      </c>
      <c r="T37" s="66" t="s">
        <v>153</v>
      </c>
      <c r="U37" s="34"/>
      <c r="V37" s="34">
        <v>0</v>
      </c>
      <c r="W37" s="34"/>
      <c r="X37" s="66"/>
      <c r="Y37" s="66">
        <v>5</v>
      </c>
      <c r="Z37" s="66"/>
      <c r="AA37" s="34">
        <v>0</v>
      </c>
      <c r="AB37" s="34">
        <v>2425010</v>
      </c>
      <c r="AC37" s="34">
        <f t="shared" si="5"/>
        <v>2619010.8000000003</v>
      </c>
      <c r="AD37" s="66"/>
      <c r="AE37" s="66" t="s">
        <v>154</v>
      </c>
      <c r="AF37" s="66"/>
    </row>
    <row r="38" spans="2:32">
      <c r="B38" s="66" t="str">
        <f t="shared" si="2"/>
        <v>MAT002</v>
      </c>
      <c r="C38" s="66" t="str">
        <f t="shared" si="0"/>
        <v>MAT002007</v>
      </c>
      <c r="D38" s="66" t="s">
        <v>149</v>
      </c>
      <c r="E38" s="66" t="s">
        <v>150</v>
      </c>
      <c r="F38" s="66" t="s">
        <v>155</v>
      </c>
      <c r="G38" s="66" t="s">
        <v>178</v>
      </c>
      <c r="H38" s="72" t="s">
        <v>336</v>
      </c>
      <c r="I38" s="66" t="s">
        <v>160</v>
      </c>
      <c r="J38" s="66" t="str">
        <f t="shared" si="3"/>
        <v>200 x 200 x 25 cm</v>
      </c>
      <c r="K38" s="66" t="str">
        <f t="shared" si="1"/>
        <v>Nệm Hybrid 200 x 200 x 25 cm</v>
      </c>
      <c r="L38" s="66" t="str">
        <f>_xlfn.XLOOKUP(M38,'0. Mã Supplier'!$B:$B,'0. Mã Supplier'!$C:$C,0)</f>
        <v>SUVN0003</v>
      </c>
      <c r="M38" s="66" t="s">
        <v>114</v>
      </c>
      <c r="N38" s="66"/>
      <c r="O38" s="66">
        <v>25</v>
      </c>
      <c r="P38" s="66">
        <v>200</v>
      </c>
      <c r="Q38" s="66">
        <v>200</v>
      </c>
      <c r="R38" s="33">
        <v>0</v>
      </c>
      <c r="S38" s="33">
        <v>0</v>
      </c>
      <c r="T38" s="66" t="s">
        <v>153</v>
      </c>
      <c r="U38" s="34"/>
      <c r="V38" s="34">
        <v>0</v>
      </c>
      <c r="W38" s="34"/>
      <c r="X38" s="66"/>
      <c r="Y38" s="66">
        <v>5</v>
      </c>
      <c r="Z38" s="66"/>
      <c r="AA38" s="34">
        <v>0</v>
      </c>
      <c r="AB38" s="34">
        <v>0</v>
      </c>
      <c r="AC38" s="34">
        <f t="shared" si="5"/>
        <v>0</v>
      </c>
      <c r="AD38" s="66"/>
      <c r="AE38" s="66" t="s">
        <v>154</v>
      </c>
      <c r="AF38" s="66"/>
    </row>
    <row r="39" spans="2:32">
      <c r="B39" s="66" t="str">
        <f t="shared" si="2"/>
        <v>MAT002</v>
      </c>
      <c r="C39" s="66" t="str">
        <f t="shared" si="0"/>
        <v>MAT002008</v>
      </c>
      <c r="D39" s="66" t="s">
        <v>149</v>
      </c>
      <c r="E39" s="66" t="s">
        <v>150</v>
      </c>
      <c r="F39" s="66" t="s">
        <v>155</v>
      </c>
      <c r="G39" s="66" t="s">
        <v>178</v>
      </c>
      <c r="H39" s="72" t="s">
        <v>336</v>
      </c>
      <c r="I39" s="66" t="s">
        <v>161</v>
      </c>
      <c r="J39" s="66" t="str">
        <f t="shared" si="3"/>
        <v>200 x 220 x 25 cm</v>
      </c>
      <c r="K39" s="66" t="str">
        <f t="shared" si="1"/>
        <v>Nệm Hybrid 200 x 220 x 25 cm</v>
      </c>
      <c r="L39" s="66" t="str">
        <f>_xlfn.XLOOKUP(M39,'0. Mã Supplier'!$B:$B,'0. Mã Supplier'!$C:$C,0)</f>
        <v>SUVN0003</v>
      </c>
      <c r="M39" s="66" t="s">
        <v>114</v>
      </c>
      <c r="N39" s="66"/>
      <c r="O39" s="66">
        <v>25</v>
      </c>
      <c r="P39" s="66">
        <v>200</v>
      </c>
      <c r="Q39" s="66">
        <v>220</v>
      </c>
      <c r="R39" s="33">
        <v>0</v>
      </c>
      <c r="S39" s="33">
        <v>0</v>
      </c>
      <c r="T39" s="66" t="s">
        <v>153</v>
      </c>
      <c r="U39" s="34"/>
      <c r="V39" s="34">
        <v>0</v>
      </c>
      <c r="W39" s="34"/>
      <c r="X39" s="66"/>
      <c r="Y39" s="66">
        <v>5</v>
      </c>
      <c r="Z39" s="66"/>
      <c r="AA39" s="34">
        <v>0</v>
      </c>
      <c r="AB39" s="34">
        <v>0</v>
      </c>
      <c r="AC39" s="34">
        <f t="shared" si="5"/>
        <v>0</v>
      </c>
      <c r="AD39" s="66"/>
      <c r="AE39" s="66" t="s">
        <v>154</v>
      </c>
      <c r="AF39" s="66"/>
    </row>
    <row r="40" spans="2:32">
      <c r="B40" s="66" t="str">
        <f t="shared" si="2"/>
        <v>MAT003</v>
      </c>
      <c r="C40" s="66" t="str">
        <f t="shared" ref="C40:C71" si="7">_xlfn.CONCAT(D40,F40,I40)</f>
        <v>MAT003001</v>
      </c>
      <c r="D40" s="66" t="s">
        <v>149</v>
      </c>
      <c r="E40" s="66" t="s">
        <v>150</v>
      </c>
      <c r="F40" s="66" t="s">
        <v>156</v>
      </c>
      <c r="G40" s="66" t="s">
        <v>179</v>
      </c>
      <c r="H40" s="72" t="s">
        <v>337</v>
      </c>
      <c r="I40" s="66" t="s">
        <v>151</v>
      </c>
      <c r="J40" s="66" t="str">
        <f t="shared" si="3"/>
        <v>80 x 200 x 27 cm</v>
      </c>
      <c r="K40" s="66" t="str">
        <f t="shared" ref="K40:K71" si="8">_xlfn.CONCAT(E40," ",G40," ",J40)</f>
        <v>Nệm Hybrid Latex 80 x 200 x 27 cm</v>
      </c>
      <c r="L40" s="66" t="str">
        <f>_xlfn.XLOOKUP(M40,'0. Mã Supplier'!$B:$B,'0. Mã Supplier'!$C:$C,0)</f>
        <v>SUVN0003</v>
      </c>
      <c r="M40" s="66" t="s">
        <v>114</v>
      </c>
      <c r="N40" s="66"/>
      <c r="O40" s="66">
        <v>27</v>
      </c>
      <c r="P40" s="66">
        <v>80</v>
      </c>
      <c r="Q40" s="66">
        <v>200</v>
      </c>
      <c r="R40" s="33">
        <v>0</v>
      </c>
      <c r="S40" s="33">
        <v>0</v>
      </c>
      <c r="T40" s="66" t="s">
        <v>153</v>
      </c>
      <c r="U40" s="34"/>
      <c r="V40" s="34">
        <v>0</v>
      </c>
      <c r="W40" s="34"/>
      <c r="X40" s="66"/>
      <c r="Y40" s="66">
        <v>5</v>
      </c>
      <c r="Z40" s="66"/>
      <c r="AA40" s="34">
        <v>0</v>
      </c>
      <c r="AB40" s="34">
        <v>0</v>
      </c>
      <c r="AC40" s="34">
        <f t="shared" si="5"/>
        <v>0</v>
      </c>
      <c r="AD40" s="66"/>
      <c r="AE40" s="66" t="s">
        <v>154</v>
      </c>
      <c r="AF40" s="66"/>
    </row>
    <row r="41" spans="2:32">
      <c r="B41" s="66" t="str">
        <f t="shared" si="2"/>
        <v>MAT003</v>
      </c>
      <c r="C41" s="66" t="str">
        <f t="shared" si="7"/>
        <v>MAT003002</v>
      </c>
      <c r="D41" s="66" t="s">
        <v>149</v>
      </c>
      <c r="E41" s="66" t="s">
        <v>150</v>
      </c>
      <c r="F41" s="66" t="s">
        <v>156</v>
      </c>
      <c r="G41" s="66" t="s">
        <v>179</v>
      </c>
      <c r="H41" s="72" t="s">
        <v>337</v>
      </c>
      <c r="I41" s="66" t="s">
        <v>155</v>
      </c>
      <c r="J41" s="66" t="str">
        <f t="shared" si="3"/>
        <v>100 x 200 x 27 cm</v>
      </c>
      <c r="K41" s="66" t="str">
        <f t="shared" si="8"/>
        <v>Nệm Hybrid Latex 100 x 200 x 27 cm</v>
      </c>
      <c r="L41" s="66" t="str">
        <f>_xlfn.XLOOKUP(M41,'0. Mã Supplier'!$B:$B,'0. Mã Supplier'!$C:$C,0)</f>
        <v>SUVN0003</v>
      </c>
      <c r="M41" s="66" t="s">
        <v>114</v>
      </c>
      <c r="N41" s="66"/>
      <c r="O41" s="66">
        <v>27</v>
      </c>
      <c r="P41" s="66">
        <v>100</v>
      </c>
      <c r="Q41" s="66">
        <v>200</v>
      </c>
      <c r="R41" s="33">
        <v>0</v>
      </c>
      <c r="S41" s="33">
        <v>0</v>
      </c>
      <c r="T41" s="66" t="s">
        <v>153</v>
      </c>
      <c r="U41" s="34"/>
      <c r="V41" s="34">
        <v>0</v>
      </c>
      <c r="W41" s="34"/>
      <c r="X41" s="66"/>
      <c r="Y41" s="66">
        <v>5</v>
      </c>
      <c r="Z41" s="66"/>
      <c r="AA41" s="34">
        <v>0</v>
      </c>
      <c r="AB41" s="34">
        <v>0</v>
      </c>
      <c r="AC41" s="34">
        <f t="shared" si="5"/>
        <v>0</v>
      </c>
      <c r="AD41" s="66"/>
      <c r="AE41" s="66" t="s">
        <v>154</v>
      </c>
      <c r="AF41" s="66"/>
    </row>
    <row r="42" spans="2:32">
      <c r="B42" s="66" t="str">
        <f t="shared" si="2"/>
        <v>MAT003</v>
      </c>
      <c r="C42" s="66" t="str">
        <f t="shared" si="7"/>
        <v>MAT003003</v>
      </c>
      <c r="D42" s="66" t="s">
        <v>149</v>
      </c>
      <c r="E42" s="66" t="s">
        <v>150</v>
      </c>
      <c r="F42" s="66" t="s">
        <v>156</v>
      </c>
      <c r="G42" s="66" t="s">
        <v>179</v>
      </c>
      <c r="H42" s="72" t="s">
        <v>337</v>
      </c>
      <c r="I42" s="66" t="s">
        <v>156</v>
      </c>
      <c r="J42" s="66" t="str">
        <f t="shared" si="3"/>
        <v>120 x 200 x 27 cm</v>
      </c>
      <c r="K42" s="66" t="str">
        <f t="shared" si="8"/>
        <v>Nệm Hybrid Latex 120 x 200 x 27 cm</v>
      </c>
      <c r="L42" s="66" t="str">
        <f>_xlfn.XLOOKUP(M42,'0. Mã Supplier'!$B:$B,'0. Mã Supplier'!$C:$C,0)</f>
        <v>SUVN0003</v>
      </c>
      <c r="M42" s="66" t="s">
        <v>114</v>
      </c>
      <c r="N42" s="66"/>
      <c r="O42" s="66">
        <v>27</v>
      </c>
      <c r="P42" s="66">
        <v>120</v>
      </c>
      <c r="Q42" s="66">
        <v>200</v>
      </c>
      <c r="R42" s="33">
        <v>0</v>
      </c>
      <c r="S42" s="33">
        <v>0</v>
      </c>
      <c r="T42" s="66" t="s">
        <v>153</v>
      </c>
      <c r="U42" s="34"/>
      <c r="V42" s="34">
        <v>0</v>
      </c>
      <c r="W42" s="34"/>
      <c r="X42" s="66"/>
      <c r="Y42" s="66">
        <v>5</v>
      </c>
      <c r="Z42" s="66"/>
      <c r="AA42" s="34">
        <v>0</v>
      </c>
      <c r="AB42" s="34">
        <v>2082010</v>
      </c>
      <c r="AC42" s="34">
        <f t="shared" si="5"/>
        <v>2248570.8000000003</v>
      </c>
      <c r="AD42" s="66"/>
      <c r="AE42" s="66" t="s">
        <v>154</v>
      </c>
      <c r="AF42" s="66"/>
    </row>
    <row r="43" spans="2:32">
      <c r="B43" s="66" t="str">
        <f t="shared" si="2"/>
        <v>MAT003</v>
      </c>
      <c r="C43" s="66" t="str">
        <f t="shared" si="7"/>
        <v>MAT003004</v>
      </c>
      <c r="D43" s="66" t="s">
        <v>149</v>
      </c>
      <c r="E43" s="66" t="s">
        <v>150</v>
      </c>
      <c r="F43" s="66" t="s">
        <v>156</v>
      </c>
      <c r="G43" s="66" t="s">
        <v>179</v>
      </c>
      <c r="H43" s="72" t="s">
        <v>337</v>
      </c>
      <c r="I43" s="66" t="s">
        <v>157</v>
      </c>
      <c r="J43" s="66" t="str">
        <f t="shared" si="3"/>
        <v>140 x 200 x 27 cm</v>
      </c>
      <c r="K43" s="66" t="str">
        <f t="shared" si="8"/>
        <v>Nệm Hybrid Latex 140 x 200 x 27 cm</v>
      </c>
      <c r="L43" s="66" t="str">
        <f>_xlfn.XLOOKUP(M43,'0. Mã Supplier'!$B:$B,'0. Mã Supplier'!$C:$C,0)</f>
        <v>SUVN0003</v>
      </c>
      <c r="M43" s="66" t="s">
        <v>114</v>
      </c>
      <c r="N43" s="66"/>
      <c r="O43" s="66">
        <v>27</v>
      </c>
      <c r="P43" s="66">
        <v>140</v>
      </c>
      <c r="Q43" s="66">
        <v>200</v>
      </c>
      <c r="R43" s="33">
        <v>0</v>
      </c>
      <c r="S43" s="33">
        <v>0</v>
      </c>
      <c r="T43" s="66" t="s">
        <v>153</v>
      </c>
      <c r="U43" s="34"/>
      <c r="V43" s="34">
        <v>0</v>
      </c>
      <c r="W43" s="34"/>
      <c r="X43" s="66"/>
      <c r="Y43" s="66">
        <v>5</v>
      </c>
      <c r="Z43" s="66"/>
      <c r="AA43" s="34">
        <v>0</v>
      </c>
      <c r="AB43" s="34">
        <v>0</v>
      </c>
      <c r="AC43" s="34">
        <f t="shared" si="5"/>
        <v>0</v>
      </c>
      <c r="AD43" s="66"/>
      <c r="AE43" s="66" t="s">
        <v>154</v>
      </c>
      <c r="AF43" s="66"/>
    </row>
    <row r="44" spans="2:32">
      <c r="B44" s="66" t="str">
        <f t="shared" si="2"/>
        <v>MAT003</v>
      </c>
      <c r="C44" s="66" t="str">
        <f t="shared" si="7"/>
        <v>MAT003005</v>
      </c>
      <c r="D44" s="66" t="s">
        <v>149</v>
      </c>
      <c r="E44" s="66" t="s">
        <v>150</v>
      </c>
      <c r="F44" s="66" t="s">
        <v>156</v>
      </c>
      <c r="G44" s="66" t="s">
        <v>179</v>
      </c>
      <c r="H44" s="72" t="s">
        <v>337</v>
      </c>
      <c r="I44" s="66" t="s">
        <v>158</v>
      </c>
      <c r="J44" s="66" t="str">
        <f t="shared" si="3"/>
        <v>160 x 200 x 27 cm</v>
      </c>
      <c r="K44" s="66" t="str">
        <f t="shared" si="8"/>
        <v>Nệm Hybrid Latex 160 x 200 x 27 cm</v>
      </c>
      <c r="L44" s="66" t="str">
        <f>_xlfn.XLOOKUP(M44,'0. Mã Supplier'!$B:$B,'0. Mã Supplier'!$C:$C,0)</f>
        <v>SUVN0003</v>
      </c>
      <c r="M44" s="66" t="s">
        <v>114</v>
      </c>
      <c r="N44" s="66"/>
      <c r="O44" s="66">
        <v>27</v>
      </c>
      <c r="P44" s="66">
        <v>160</v>
      </c>
      <c r="Q44" s="66">
        <v>200</v>
      </c>
      <c r="R44" s="33">
        <v>0</v>
      </c>
      <c r="S44" s="33">
        <v>0</v>
      </c>
      <c r="T44" s="66" t="s">
        <v>153</v>
      </c>
      <c r="U44" s="34"/>
      <c r="V44" s="34">
        <v>0</v>
      </c>
      <c r="W44" s="34"/>
      <c r="X44" s="66"/>
      <c r="Y44" s="66">
        <v>5</v>
      </c>
      <c r="Z44" s="66"/>
      <c r="AA44" s="34">
        <v>0</v>
      </c>
      <c r="AB44" s="34">
        <v>2572010</v>
      </c>
      <c r="AC44" s="34">
        <f t="shared" si="5"/>
        <v>2777770.8000000003</v>
      </c>
      <c r="AD44" s="66"/>
      <c r="AE44" s="66" t="s">
        <v>154</v>
      </c>
      <c r="AF44" s="66"/>
    </row>
    <row r="45" spans="2:32">
      <c r="B45" s="66" t="str">
        <f t="shared" si="2"/>
        <v>MAT003</v>
      </c>
      <c r="C45" s="66" t="str">
        <f t="shared" si="7"/>
        <v>MAT003006</v>
      </c>
      <c r="D45" s="66" t="s">
        <v>149</v>
      </c>
      <c r="E45" s="66" t="s">
        <v>150</v>
      </c>
      <c r="F45" s="66" t="s">
        <v>156</v>
      </c>
      <c r="G45" s="66" t="s">
        <v>179</v>
      </c>
      <c r="H45" s="72" t="s">
        <v>337</v>
      </c>
      <c r="I45" s="66" t="s">
        <v>159</v>
      </c>
      <c r="J45" s="66" t="str">
        <f t="shared" si="3"/>
        <v>180 x 200 x 27 cm</v>
      </c>
      <c r="K45" s="66" t="str">
        <f t="shared" si="8"/>
        <v>Nệm Hybrid Latex 180 x 200 x 27 cm</v>
      </c>
      <c r="L45" s="66" t="str">
        <f>_xlfn.XLOOKUP(M45,'0. Mã Supplier'!$B:$B,'0. Mã Supplier'!$C:$C,0)</f>
        <v>SUVN0003</v>
      </c>
      <c r="M45" s="66" t="s">
        <v>114</v>
      </c>
      <c r="N45" s="66"/>
      <c r="O45" s="66">
        <v>27</v>
      </c>
      <c r="P45" s="66">
        <v>180</v>
      </c>
      <c r="Q45" s="66">
        <v>200</v>
      </c>
      <c r="R45" s="33">
        <v>0</v>
      </c>
      <c r="S45" s="33">
        <v>0</v>
      </c>
      <c r="T45" s="66" t="s">
        <v>153</v>
      </c>
      <c r="U45" s="34"/>
      <c r="V45" s="34">
        <v>0</v>
      </c>
      <c r="W45" s="34"/>
      <c r="X45" s="66"/>
      <c r="Y45" s="66">
        <v>5</v>
      </c>
      <c r="Z45" s="66"/>
      <c r="AA45" s="34">
        <v>0</v>
      </c>
      <c r="AB45" s="34">
        <v>2866010</v>
      </c>
      <c r="AC45" s="34">
        <f t="shared" si="5"/>
        <v>3095290.8000000003</v>
      </c>
      <c r="AD45" s="66"/>
      <c r="AE45" s="66" t="s">
        <v>154</v>
      </c>
      <c r="AF45" s="66"/>
    </row>
    <row r="46" spans="2:32">
      <c r="B46" s="66" t="str">
        <f t="shared" si="2"/>
        <v>MAT003</v>
      </c>
      <c r="C46" s="66" t="str">
        <f t="shared" si="7"/>
        <v>MAT003007</v>
      </c>
      <c r="D46" s="66" t="s">
        <v>149</v>
      </c>
      <c r="E46" s="66" t="s">
        <v>150</v>
      </c>
      <c r="F46" s="66" t="s">
        <v>156</v>
      </c>
      <c r="G46" s="66" t="s">
        <v>179</v>
      </c>
      <c r="H46" s="72" t="s">
        <v>337</v>
      </c>
      <c r="I46" s="66" t="s">
        <v>160</v>
      </c>
      <c r="J46" s="66" t="str">
        <f t="shared" si="3"/>
        <v>200 x 200 x 27 cm</v>
      </c>
      <c r="K46" s="66" t="str">
        <f t="shared" si="8"/>
        <v>Nệm Hybrid Latex 200 x 200 x 27 cm</v>
      </c>
      <c r="L46" s="66" t="str">
        <f>_xlfn.XLOOKUP(M46,'0. Mã Supplier'!$B:$B,'0. Mã Supplier'!$C:$C,0)</f>
        <v>SUVN0003</v>
      </c>
      <c r="M46" s="66" t="s">
        <v>114</v>
      </c>
      <c r="N46" s="66"/>
      <c r="O46" s="66">
        <v>27</v>
      </c>
      <c r="P46" s="66">
        <v>200</v>
      </c>
      <c r="Q46" s="66">
        <v>200</v>
      </c>
      <c r="R46" s="33">
        <v>0</v>
      </c>
      <c r="S46" s="33">
        <v>0</v>
      </c>
      <c r="T46" s="66" t="s">
        <v>153</v>
      </c>
      <c r="U46" s="34"/>
      <c r="V46" s="34">
        <v>0</v>
      </c>
      <c r="W46" s="34"/>
      <c r="X46" s="66"/>
      <c r="Y46" s="66">
        <v>5</v>
      </c>
      <c r="Z46" s="66"/>
      <c r="AA46" s="34">
        <v>0</v>
      </c>
      <c r="AB46" s="34">
        <v>0</v>
      </c>
      <c r="AC46" s="34">
        <f t="shared" si="5"/>
        <v>0</v>
      </c>
      <c r="AD46" s="66"/>
      <c r="AE46" s="66" t="s">
        <v>154</v>
      </c>
      <c r="AF46" s="66"/>
    </row>
    <row r="47" spans="2:32">
      <c r="B47" s="66" t="str">
        <f t="shared" si="2"/>
        <v>MAT003</v>
      </c>
      <c r="C47" s="66" t="str">
        <f t="shared" si="7"/>
        <v>MAT003008</v>
      </c>
      <c r="D47" s="66" t="s">
        <v>149</v>
      </c>
      <c r="E47" s="66" t="s">
        <v>150</v>
      </c>
      <c r="F47" s="66" t="s">
        <v>156</v>
      </c>
      <c r="G47" s="66" t="s">
        <v>179</v>
      </c>
      <c r="H47" s="72" t="s">
        <v>337</v>
      </c>
      <c r="I47" s="66" t="s">
        <v>161</v>
      </c>
      <c r="J47" s="66" t="str">
        <f t="shared" si="3"/>
        <v>200 x 220 x 27 cm</v>
      </c>
      <c r="K47" s="66" t="str">
        <f t="shared" si="8"/>
        <v>Nệm Hybrid Latex 200 x 220 x 27 cm</v>
      </c>
      <c r="L47" s="66" t="str">
        <f>_xlfn.XLOOKUP(M47,'0. Mã Supplier'!$B:$B,'0. Mã Supplier'!$C:$C,0)</f>
        <v>SUVN0003</v>
      </c>
      <c r="M47" s="66" t="s">
        <v>114</v>
      </c>
      <c r="N47" s="66"/>
      <c r="O47" s="66">
        <v>27</v>
      </c>
      <c r="P47" s="66">
        <v>200</v>
      </c>
      <c r="Q47" s="66">
        <v>220</v>
      </c>
      <c r="R47" s="33">
        <v>0</v>
      </c>
      <c r="S47" s="33">
        <v>0</v>
      </c>
      <c r="T47" s="66" t="s">
        <v>153</v>
      </c>
      <c r="U47" s="34"/>
      <c r="V47" s="34">
        <v>0</v>
      </c>
      <c r="W47" s="34"/>
      <c r="X47" s="66"/>
      <c r="Y47" s="66">
        <v>5</v>
      </c>
      <c r="Z47" s="66"/>
      <c r="AA47" s="34">
        <v>0</v>
      </c>
      <c r="AB47" s="34">
        <v>0</v>
      </c>
      <c r="AC47" s="34">
        <f t="shared" si="5"/>
        <v>0</v>
      </c>
      <c r="AD47" s="66"/>
      <c r="AE47" s="66" t="s">
        <v>154</v>
      </c>
      <c r="AF47" s="66"/>
    </row>
    <row r="48" spans="2:32">
      <c r="B48" s="66" t="str">
        <f t="shared" si="2"/>
        <v>MAT004</v>
      </c>
      <c r="C48" s="66" t="str">
        <f t="shared" si="7"/>
        <v>MAT004001</v>
      </c>
      <c r="D48" s="66" t="s">
        <v>149</v>
      </c>
      <c r="E48" s="66" t="s">
        <v>150</v>
      </c>
      <c r="F48" s="66" t="s">
        <v>157</v>
      </c>
      <c r="G48" s="66" t="s">
        <v>180</v>
      </c>
      <c r="H48" s="72" t="s">
        <v>338</v>
      </c>
      <c r="I48" s="66" t="s">
        <v>151</v>
      </c>
      <c r="J48" s="66" t="str">
        <f t="shared" si="3"/>
        <v>80 x 200 x 15 cm</v>
      </c>
      <c r="K48" s="66" t="str">
        <f t="shared" si="8"/>
        <v>Nệm Power X Core 80 x 200 x 15 cm</v>
      </c>
      <c r="L48" s="66" t="str">
        <f>_xlfn.XLOOKUP(M48,'0. Mã Supplier'!$B:$B,'0. Mã Supplier'!$C:$C,0)</f>
        <v>SUCN0001</v>
      </c>
      <c r="M48" s="66" t="s">
        <v>120</v>
      </c>
      <c r="N48" s="66"/>
      <c r="O48" s="66">
        <v>15</v>
      </c>
      <c r="P48" s="66">
        <v>80</v>
      </c>
      <c r="Q48" s="66">
        <v>200</v>
      </c>
      <c r="R48" s="33">
        <v>0</v>
      </c>
      <c r="S48" s="33">
        <v>0</v>
      </c>
      <c r="T48" s="66" t="s">
        <v>153</v>
      </c>
      <c r="U48" s="34"/>
      <c r="V48" s="34">
        <v>0</v>
      </c>
      <c r="W48" s="34"/>
      <c r="X48" s="66"/>
      <c r="Y48" s="66">
        <v>5</v>
      </c>
      <c r="Z48" s="66"/>
      <c r="AA48" s="34">
        <v>0</v>
      </c>
      <c r="AB48" s="34">
        <v>0</v>
      </c>
      <c r="AC48" s="34">
        <f t="shared" si="5"/>
        <v>0</v>
      </c>
      <c r="AD48" s="66"/>
      <c r="AE48" s="66" t="s">
        <v>154</v>
      </c>
      <c r="AF48" s="66"/>
    </row>
    <row r="49" spans="2:32">
      <c r="B49" s="66" t="str">
        <f t="shared" si="2"/>
        <v>MAT004</v>
      </c>
      <c r="C49" s="66" t="str">
        <f t="shared" si="7"/>
        <v>MAT004002</v>
      </c>
      <c r="D49" s="66" t="s">
        <v>149</v>
      </c>
      <c r="E49" s="66" t="s">
        <v>150</v>
      </c>
      <c r="F49" s="66" t="s">
        <v>157</v>
      </c>
      <c r="G49" s="66" t="s">
        <v>180</v>
      </c>
      <c r="H49" s="72" t="s">
        <v>338</v>
      </c>
      <c r="I49" s="66" t="s">
        <v>155</v>
      </c>
      <c r="J49" s="66" t="str">
        <f t="shared" si="3"/>
        <v>100 x 200 x 15 cm</v>
      </c>
      <c r="K49" s="66" t="str">
        <f t="shared" si="8"/>
        <v>Nệm Power X Core 100 x 200 x 15 cm</v>
      </c>
      <c r="L49" s="66" t="str">
        <f>_xlfn.XLOOKUP(M49,'0. Mã Supplier'!$B:$B,'0. Mã Supplier'!$C:$C,0)</f>
        <v>SUCN0001</v>
      </c>
      <c r="M49" s="66" t="s">
        <v>120</v>
      </c>
      <c r="N49" s="66"/>
      <c r="O49" s="66">
        <v>15</v>
      </c>
      <c r="P49" s="66">
        <v>100</v>
      </c>
      <c r="Q49" s="66">
        <v>200</v>
      </c>
      <c r="R49" s="33">
        <v>0</v>
      </c>
      <c r="S49" s="33">
        <v>0</v>
      </c>
      <c r="T49" s="66" t="s">
        <v>153</v>
      </c>
      <c r="U49" s="34"/>
      <c r="V49" s="34">
        <v>0</v>
      </c>
      <c r="W49" s="34"/>
      <c r="X49" s="66"/>
      <c r="Y49" s="66">
        <v>5</v>
      </c>
      <c r="Z49" s="66"/>
      <c r="AA49" s="34">
        <v>0</v>
      </c>
      <c r="AB49" s="34">
        <v>0</v>
      </c>
      <c r="AC49" s="34">
        <f t="shared" si="5"/>
        <v>0</v>
      </c>
      <c r="AD49" s="66"/>
      <c r="AE49" s="66" t="s">
        <v>154</v>
      </c>
      <c r="AF49" s="66"/>
    </row>
    <row r="50" spans="2:32">
      <c r="B50" s="66" t="str">
        <f t="shared" si="2"/>
        <v>MAT004</v>
      </c>
      <c r="C50" s="66" t="str">
        <f t="shared" si="7"/>
        <v>MAT004003</v>
      </c>
      <c r="D50" s="66" t="s">
        <v>149</v>
      </c>
      <c r="E50" s="66" t="s">
        <v>150</v>
      </c>
      <c r="F50" s="66" t="s">
        <v>157</v>
      </c>
      <c r="G50" s="66" t="s">
        <v>180</v>
      </c>
      <c r="H50" s="72" t="s">
        <v>338</v>
      </c>
      <c r="I50" s="66" t="s">
        <v>156</v>
      </c>
      <c r="J50" s="66" t="str">
        <f t="shared" si="3"/>
        <v>120 x 200 x 15 cm</v>
      </c>
      <c r="K50" s="66" t="str">
        <f t="shared" si="8"/>
        <v>Nệm Power X Core 120 x 200 x 15 cm</v>
      </c>
      <c r="L50" s="66" t="str">
        <f>_xlfn.XLOOKUP(M50,'0. Mã Supplier'!$B:$B,'0. Mã Supplier'!$C:$C,0)</f>
        <v>SUCN0001</v>
      </c>
      <c r="M50" s="66" t="s">
        <v>120</v>
      </c>
      <c r="N50" s="66"/>
      <c r="O50" s="66">
        <v>15</v>
      </c>
      <c r="P50" s="66">
        <v>120</v>
      </c>
      <c r="Q50" s="66">
        <v>200</v>
      </c>
      <c r="R50" s="33">
        <v>12</v>
      </c>
      <c r="S50" s="33">
        <v>13</v>
      </c>
      <c r="T50" s="66" t="s">
        <v>153</v>
      </c>
      <c r="U50" s="34">
        <v>128</v>
      </c>
      <c r="V50" s="34">
        <v>25</v>
      </c>
      <c r="W50" s="34">
        <v>25</v>
      </c>
      <c r="X50" s="66"/>
      <c r="Y50" s="66">
        <v>5</v>
      </c>
      <c r="Z50" s="34"/>
      <c r="AA50" s="34">
        <v>55.2</v>
      </c>
      <c r="AB50" s="34">
        <v>1527868.9991895419</v>
      </c>
      <c r="AC50" s="34">
        <f t="shared" si="5"/>
        <v>1650098.5191247053</v>
      </c>
      <c r="AD50" s="66"/>
      <c r="AE50" s="66" t="s">
        <v>154</v>
      </c>
      <c r="AF50" s="66"/>
    </row>
    <row r="51" spans="2:32">
      <c r="B51" s="66" t="str">
        <f t="shared" si="2"/>
        <v>MAT004</v>
      </c>
      <c r="C51" s="66" t="str">
        <f t="shared" si="7"/>
        <v>MAT004004</v>
      </c>
      <c r="D51" s="66" t="s">
        <v>149</v>
      </c>
      <c r="E51" s="66" t="s">
        <v>150</v>
      </c>
      <c r="F51" s="66" t="s">
        <v>157</v>
      </c>
      <c r="G51" s="66" t="s">
        <v>180</v>
      </c>
      <c r="H51" s="72" t="s">
        <v>338</v>
      </c>
      <c r="I51" s="66" t="s">
        <v>157</v>
      </c>
      <c r="J51" s="66" t="str">
        <f t="shared" si="3"/>
        <v>140 x 200 x 15 cm</v>
      </c>
      <c r="K51" s="66" t="str">
        <f t="shared" si="8"/>
        <v>Nệm Power X Core 140 x 200 x 15 cm</v>
      </c>
      <c r="L51" s="66" t="str">
        <f>_xlfn.XLOOKUP(M51,'0. Mã Supplier'!$B:$B,'0. Mã Supplier'!$C:$C,0)</f>
        <v>SUCN0001</v>
      </c>
      <c r="M51" s="66" t="s">
        <v>120</v>
      </c>
      <c r="N51" s="66"/>
      <c r="O51" s="66">
        <v>15</v>
      </c>
      <c r="P51" s="66">
        <v>140</v>
      </c>
      <c r="Q51" s="66">
        <v>200</v>
      </c>
      <c r="R51" s="33">
        <v>14</v>
      </c>
      <c r="S51" s="33">
        <v>15</v>
      </c>
      <c r="T51" s="66" t="s">
        <v>153</v>
      </c>
      <c r="U51" s="34">
        <v>148</v>
      </c>
      <c r="V51" s="34">
        <v>25</v>
      </c>
      <c r="W51" s="34">
        <v>25</v>
      </c>
      <c r="X51" s="66"/>
      <c r="Y51" s="66">
        <v>5</v>
      </c>
      <c r="Z51" s="34"/>
      <c r="AA51" s="34">
        <v>62</v>
      </c>
      <c r="AB51" s="34">
        <v>1719112.0303129076</v>
      </c>
      <c r="AC51" s="34">
        <f t="shared" si="5"/>
        <v>1856640.9927379403</v>
      </c>
      <c r="AD51" s="66"/>
      <c r="AE51" s="66" t="s">
        <v>154</v>
      </c>
      <c r="AF51" s="66"/>
    </row>
    <row r="52" spans="2:32">
      <c r="B52" s="66" t="str">
        <f t="shared" si="2"/>
        <v>MAT004</v>
      </c>
      <c r="C52" s="66" t="str">
        <f t="shared" si="7"/>
        <v>MAT004005</v>
      </c>
      <c r="D52" s="66" t="s">
        <v>149</v>
      </c>
      <c r="E52" s="66" t="s">
        <v>150</v>
      </c>
      <c r="F52" s="66" t="s">
        <v>157</v>
      </c>
      <c r="G52" s="66" t="s">
        <v>180</v>
      </c>
      <c r="H52" s="72" t="s">
        <v>338</v>
      </c>
      <c r="I52" s="66" t="s">
        <v>158</v>
      </c>
      <c r="J52" s="66" t="str">
        <f t="shared" si="3"/>
        <v>160 x 200 x 15 cm</v>
      </c>
      <c r="K52" s="66" t="str">
        <f t="shared" si="8"/>
        <v>Nệm Power X Core 160 x 200 x 15 cm</v>
      </c>
      <c r="L52" s="66" t="str">
        <f>_xlfn.XLOOKUP(M52,'0. Mã Supplier'!$B:$B,'0. Mã Supplier'!$C:$C,0)</f>
        <v>SUCN0001</v>
      </c>
      <c r="M52" s="66" t="s">
        <v>120</v>
      </c>
      <c r="N52" s="66"/>
      <c r="O52" s="66">
        <v>15</v>
      </c>
      <c r="P52" s="66">
        <v>160</v>
      </c>
      <c r="Q52" s="66">
        <v>200</v>
      </c>
      <c r="R52" s="33">
        <v>16.982142857142858</v>
      </c>
      <c r="S52" s="33">
        <v>18</v>
      </c>
      <c r="T52" s="66" t="s">
        <v>153</v>
      </c>
      <c r="U52" s="34">
        <v>168</v>
      </c>
      <c r="V52" s="34">
        <v>25</v>
      </c>
      <c r="W52" s="34">
        <v>25</v>
      </c>
      <c r="X52" s="66"/>
      <c r="Y52" s="66">
        <v>5</v>
      </c>
      <c r="Z52" s="34"/>
      <c r="AA52" s="34">
        <v>68.5</v>
      </c>
      <c r="AB52" s="34">
        <v>1902549.0614362736</v>
      </c>
      <c r="AC52" s="34">
        <f t="shared" si="5"/>
        <v>2054752.9863511757</v>
      </c>
      <c r="AD52" s="66"/>
      <c r="AE52" s="66" t="s">
        <v>154</v>
      </c>
      <c r="AF52" s="66"/>
    </row>
    <row r="53" spans="2:32">
      <c r="B53" s="66" t="str">
        <f t="shared" si="2"/>
        <v>MAT004</v>
      </c>
      <c r="C53" s="66" t="str">
        <f t="shared" si="7"/>
        <v>MAT004006</v>
      </c>
      <c r="D53" s="66" t="s">
        <v>149</v>
      </c>
      <c r="E53" s="66" t="s">
        <v>150</v>
      </c>
      <c r="F53" s="66" t="s">
        <v>157</v>
      </c>
      <c r="G53" s="66" t="s">
        <v>180</v>
      </c>
      <c r="H53" s="72" t="s">
        <v>338</v>
      </c>
      <c r="I53" s="66" t="s">
        <v>159</v>
      </c>
      <c r="J53" s="66" t="str">
        <f t="shared" si="3"/>
        <v>180 x 200 x 15 cm</v>
      </c>
      <c r="K53" s="66" t="str">
        <f t="shared" si="8"/>
        <v>Nệm Power X Core 180 x 200 x 15 cm</v>
      </c>
      <c r="L53" s="66" t="str">
        <f>_xlfn.XLOOKUP(M53,'0. Mã Supplier'!$B:$B,'0. Mã Supplier'!$C:$C,0)</f>
        <v>SUCN0001</v>
      </c>
      <c r="M53" s="66" t="s">
        <v>120</v>
      </c>
      <c r="N53" s="66"/>
      <c r="O53" s="66">
        <v>15</v>
      </c>
      <c r="P53" s="66">
        <v>180</v>
      </c>
      <c r="Q53" s="66">
        <v>200</v>
      </c>
      <c r="R53" s="33">
        <v>19</v>
      </c>
      <c r="S53" s="33">
        <v>20.5</v>
      </c>
      <c r="T53" s="66" t="s">
        <v>153</v>
      </c>
      <c r="U53" s="34">
        <v>188</v>
      </c>
      <c r="V53" s="34">
        <v>25</v>
      </c>
      <c r="W53" s="34">
        <v>25</v>
      </c>
      <c r="X53" s="66"/>
      <c r="Y53" s="66">
        <v>5</v>
      </c>
      <c r="Z53" s="34"/>
      <c r="AA53" s="34">
        <v>75</v>
      </c>
      <c r="AB53" s="34">
        <v>2085986.0925596396</v>
      </c>
      <c r="AC53" s="34">
        <f t="shared" si="5"/>
        <v>2252864.9799644109</v>
      </c>
      <c r="AD53" s="66"/>
      <c r="AE53" s="66" t="s">
        <v>154</v>
      </c>
      <c r="AF53" s="66"/>
    </row>
    <row r="54" spans="2:32">
      <c r="B54" s="66" t="str">
        <f t="shared" si="2"/>
        <v>MAT004</v>
      </c>
      <c r="C54" s="66" t="str">
        <f t="shared" si="7"/>
        <v>MAT004007</v>
      </c>
      <c r="D54" s="66" t="s">
        <v>149</v>
      </c>
      <c r="E54" s="66" t="s">
        <v>150</v>
      </c>
      <c r="F54" s="66" t="s">
        <v>157</v>
      </c>
      <c r="G54" s="66" t="s">
        <v>180</v>
      </c>
      <c r="H54" s="72" t="s">
        <v>338</v>
      </c>
      <c r="I54" s="66" t="s">
        <v>160</v>
      </c>
      <c r="J54" s="66" t="str">
        <f t="shared" si="3"/>
        <v>200 x 200 x 15 cm</v>
      </c>
      <c r="K54" s="66" t="str">
        <f t="shared" si="8"/>
        <v>Nệm Power X Core 200 x 200 x 15 cm</v>
      </c>
      <c r="L54" s="66" t="str">
        <f>_xlfn.XLOOKUP(M54,'0. Mã Supplier'!$B:$B,'0. Mã Supplier'!$C:$C,0)</f>
        <v>SUCN0001</v>
      </c>
      <c r="M54" s="66" t="s">
        <v>120</v>
      </c>
      <c r="N54" s="66"/>
      <c r="O54" s="66">
        <v>15</v>
      </c>
      <c r="P54" s="66">
        <v>200</v>
      </c>
      <c r="Q54" s="66">
        <v>200</v>
      </c>
      <c r="R54" s="33">
        <v>0</v>
      </c>
      <c r="S54" s="33">
        <v>0</v>
      </c>
      <c r="T54" s="66" t="s">
        <v>153</v>
      </c>
      <c r="U54" s="34">
        <v>208</v>
      </c>
      <c r="V54" s="34">
        <v>25</v>
      </c>
      <c r="W54" s="34">
        <v>25</v>
      </c>
      <c r="X54" s="66"/>
      <c r="Y54" s="66">
        <v>5</v>
      </c>
      <c r="Z54" s="34"/>
      <c r="AA54" s="34">
        <v>0</v>
      </c>
      <c r="AB54" s="34">
        <v>0</v>
      </c>
      <c r="AC54" s="34">
        <f t="shared" si="5"/>
        <v>0</v>
      </c>
      <c r="AD54" s="66"/>
      <c r="AE54" s="66" t="s">
        <v>154</v>
      </c>
      <c r="AF54" s="66"/>
    </row>
    <row r="55" spans="2:32">
      <c r="B55" s="66" t="str">
        <f t="shared" si="2"/>
        <v>MAT004</v>
      </c>
      <c r="C55" s="66" t="str">
        <f t="shared" si="7"/>
        <v>MAT004008</v>
      </c>
      <c r="D55" s="66" t="s">
        <v>149</v>
      </c>
      <c r="E55" s="66" t="s">
        <v>150</v>
      </c>
      <c r="F55" s="66" t="s">
        <v>157</v>
      </c>
      <c r="G55" s="66" t="s">
        <v>180</v>
      </c>
      <c r="H55" s="72" t="s">
        <v>338</v>
      </c>
      <c r="I55" s="66" t="s">
        <v>161</v>
      </c>
      <c r="J55" s="66" t="str">
        <f t="shared" si="3"/>
        <v>200 x 220 x 15 cm</v>
      </c>
      <c r="K55" s="66" t="str">
        <f t="shared" si="8"/>
        <v>Nệm Power X Core 200 x 220 x 15 cm</v>
      </c>
      <c r="L55" s="66" t="str">
        <f>_xlfn.XLOOKUP(M55,'0. Mã Supplier'!$B:$B,'0. Mã Supplier'!$C:$C,0)</f>
        <v>SUCN0001</v>
      </c>
      <c r="M55" s="66" t="s">
        <v>120</v>
      </c>
      <c r="N55" s="66"/>
      <c r="O55" s="66">
        <v>15</v>
      </c>
      <c r="P55" s="66">
        <v>200</v>
      </c>
      <c r="Q55" s="66">
        <v>220</v>
      </c>
      <c r="R55" s="33">
        <v>20</v>
      </c>
      <c r="S55" s="33">
        <v>22</v>
      </c>
      <c r="T55" s="66" t="s">
        <v>153</v>
      </c>
      <c r="U55" s="34">
        <v>208</v>
      </c>
      <c r="V55" s="34">
        <v>25</v>
      </c>
      <c r="W55" s="34">
        <v>25</v>
      </c>
      <c r="X55" s="66"/>
      <c r="Y55" s="66">
        <v>5</v>
      </c>
      <c r="Z55" s="34"/>
      <c r="AA55" s="34">
        <v>87.13</v>
      </c>
      <c r="AB55" s="34">
        <v>2415915.7236830057</v>
      </c>
      <c r="AC55" s="34">
        <f t="shared" si="5"/>
        <v>2609188.9815776465</v>
      </c>
      <c r="AD55" s="66"/>
      <c r="AE55" s="66" t="s">
        <v>154</v>
      </c>
      <c r="AF55" s="66"/>
    </row>
    <row r="56" spans="2:32">
      <c r="B56" s="66" t="str">
        <f t="shared" si="2"/>
        <v>MAT005</v>
      </c>
      <c r="C56" s="66" t="str">
        <f t="shared" si="7"/>
        <v>MAT005001</v>
      </c>
      <c r="D56" s="66" t="s">
        <v>149</v>
      </c>
      <c r="E56" s="66" t="s">
        <v>150</v>
      </c>
      <c r="F56" s="66" t="s">
        <v>158</v>
      </c>
      <c r="G56" s="66" t="s">
        <v>181</v>
      </c>
      <c r="H56" s="72" t="s">
        <v>339</v>
      </c>
      <c r="I56" s="66" t="s">
        <v>151</v>
      </c>
      <c r="J56" s="66" t="str">
        <f t="shared" si="3"/>
        <v>80 x 200 x 22 cm</v>
      </c>
      <c r="K56" s="66" t="str">
        <f t="shared" si="8"/>
        <v>Nệm Power X Flow 80 x 200 x 22 cm</v>
      </c>
      <c r="L56" s="66" t="str">
        <f>_xlfn.XLOOKUP(M56,'0. Mã Supplier'!$B:$B,'0. Mã Supplier'!$C:$C,0)</f>
        <v>SUCN0001</v>
      </c>
      <c r="M56" s="66" t="s">
        <v>120</v>
      </c>
      <c r="N56" s="66"/>
      <c r="O56" s="66">
        <v>22</v>
      </c>
      <c r="P56" s="66">
        <v>80</v>
      </c>
      <c r="Q56" s="66">
        <v>200</v>
      </c>
      <c r="R56" s="33">
        <v>0</v>
      </c>
      <c r="S56" s="33">
        <v>0</v>
      </c>
      <c r="T56" s="66" t="s">
        <v>153</v>
      </c>
      <c r="U56" s="34"/>
      <c r="V56" s="34">
        <v>0</v>
      </c>
      <c r="W56" s="34"/>
      <c r="X56" s="66"/>
      <c r="Y56" s="66">
        <v>5</v>
      </c>
      <c r="Z56" s="34"/>
      <c r="AA56" s="34">
        <v>0</v>
      </c>
      <c r="AB56" s="34">
        <v>0</v>
      </c>
      <c r="AC56" s="34">
        <f t="shared" si="5"/>
        <v>0</v>
      </c>
      <c r="AD56" s="66"/>
      <c r="AE56" s="66" t="s">
        <v>154</v>
      </c>
      <c r="AF56" s="66"/>
    </row>
    <row r="57" spans="2:32">
      <c r="B57" s="66" t="str">
        <f t="shared" si="2"/>
        <v>MAT005</v>
      </c>
      <c r="C57" s="66" t="str">
        <f t="shared" si="7"/>
        <v>MAT005002</v>
      </c>
      <c r="D57" s="66" t="s">
        <v>149</v>
      </c>
      <c r="E57" s="66" t="s">
        <v>150</v>
      </c>
      <c r="F57" s="66" t="s">
        <v>158</v>
      </c>
      <c r="G57" s="66" t="s">
        <v>181</v>
      </c>
      <c r="H57" s="72" t="s">
        <v>339</v>
      </c>
      <c r="I57" s="66" t="s">
        <v>155</v>
      </c>
      <c r="J57" s="66" t="str">
        <f t="shared" si="3"/>
        <v>100 x 200 x 22 cm</v>
      </c>
      <c r="K57" s="66" t="str">
        <f t="shared" si="8"/>
        <v>Nệm Power X Flow 100 x 200 x 22 cm</v>
      </c>
      <c r="L57" s="66" t="str">
        <f>_xlfn.XLOOKUP(M57,'0. Mã Supplier'!$B:$B,'0. Mã Supplier'!$C:$C,0)</f>
        <v>SUCN0001</v>
      </c>
      <c r="M57" s="66" t="s">
        <v>120</v>
      </c>
      <c r="N57" s="66"/>
      <c r="O57" s="66">
        <v>22</v>
      </c>
      <c r="P57" s="66">
        <v>100</v>
      </c>
      <c r="Q57" s="66">
        <v>200</v>
      </c>
      <c r="R57" s="33">
        <v>0</v>
      </c>
      <c r="S57" s="33">
        <v>0</v>
      </c>
      <c r="T57" s="66" t="s">
        <v>153</v>
      </c>
      <c r="U57" s="34"/>
      <c r="V57" s="34">
        <v>0</v>
      </c>
      <c r="W57" s="34"/>
      <c r="X57" s="66"/>
      <c r="Y57" s="66">
        <v>5</v>
      </c>
      <c r="Z57" s="34"/>
      <c r="AA57" s="34">
        <v>0</v>
      </c>
      <c r="AB57" s="34">
        <v>0</v>
      </c>
      <c r="AC57" s="34">
        <f t="shared" si="5"/>
        <v>0</v>
      </c>
      <c r="AD57" s="66"/>
      <c r="AE57" s="66" t="s">
        <v>154</v>
      </c>
      <c r="AF57" s="66"/>
    </row>
    <row r="58" spans="2:32">
      <c r="B58" s="66" t="str">
        <f t="shared" si="2"/>
        <v>MAT005</v>
      </c>
      <c r="C58" s="66" t="str">
        <f t="shared" si="7"/>
        <v>MAT005003</v>
      </c>
      <c r="D58" s="66" t="s">
        <v>149</v>
      </c>
      <c r="E58" s="66" t="s">
        <v>150</v>
      </c>
      <c r="F58" s="66" t="s">
        <v>158</v>
      </c>
      <c r="G58" s="66" t="s">
        <v>181</v>
      </c>
      <c r="H58" s="72" t="s">
        <v>339</v>
      </c>
      <c r="I58" s="66" t="s">
        <v>156</v>
      </c>
      <c r="J58" s="66" t="str">
        <f t="shared" si="3"/>
        <v>120 x 200 x 22 cm</v>
      </c>
      <c r="K58" s="66" t="str">
        <f t="shared" si="8"/>
        <v>Nệm Power X Flow 120 x 200 x 22 cm</v>
      </c>
      <c r="L58" s="66" t="str">
        <f>_xlfn.XLOOKUP(M58,'0. Mã Supplier'!$B:$B,'0. Mã Supplier'!$C:$C,0)</f>
        <v>SUCN0001</v>
      </c>
      <c r="M58" s="66" t="s">
        <v>120</v>
      </c>
      <c r="N58" s="66"/>
      <c r="O58" s="66">
        <v>22</v>
      </c>
      <c r="P58" s="66">
        <v>120</v>
      </c>
      <c r="Q58" s="66">
        <v>200</v>
      </c>
      <c r="R58" s="33">
        <v>14.5</v>
      </c>
      <c r="S58" s="33">
        <v>16</v>
      </c>
      <c r="T58" s="66" t="s">
        <v>153</v>
      </c>
      <c r="U58" s="34">
        <v>128</v>
      </c>
      <c r="V58" s="34">
        <v>30</v>
      </c>
      <c r="W58" s="34">
        <v>30</v>
      </c>
      <c r="X58" s="66"/>
      <c r="Y58" s="66">
        <v>5</v>
      </c>
      <c r="Z58" s="34"/>
      <c r="AA58" s="34">
        <v>77</v>
      </c>
      <c r="AB58" s="34">
        <v>2135393.5988329402</v>
      </c>
      <c r="AC58" s="34">
        <f t="shared" si="5"/>
        <v>2306225.0867395755</v>
      </c>
      <c r="AD58" s="66"/>
      <c r="AE58" s="66" t="s">
        <v>154</v>
      </c>
      <c r="AF58" s="66"/>
    </row>
    <row r="59" spans="2:32">
      <c r="B59" s="66" t="str">
        <f t="shared" si="2"/>
        <v>MAT005</v>
      </c>
      <c r="C59" s="66" t="str">
        <f t="shared" si="7"/>
        <v>MAT005004</v>
      </c>
      <c r="D59" s="66" t="s">
        <v>149</v>
      </c>
      <c r="E59" s="66" t="s">
        <v>150</v>
      </c>
      <c r="F59" s="66" t="s">
        <v>158</v>
      </c>
      <c r="G59" s="66" t="s">
        <v>181</v>
      </c>
      <c r="H59" s="72" t="s">
        <v>339</v>
      </c>
      <c r="I59" s="66" t="s">
        <v>157</v>
      </c>
      <c r="J59" s="66" t="str">
        <f t="shared" si="3"/>
        <v>140 x 200 x 22 cm</v>
      </c>
      <c r="K59" s="66" t="str">
        <f t="shared" si="8"/>
        <v>Nệm Power X Flow 140 x 200 x 22 cm</v>
      </c>
      <c r="L59" s="66" t="str">
        <f>_xlfn.XLOOKUP(M59,'0. Mã Supplier'!$B:$B,'0. Mã Supplier'!$C:$C,0)</f>
        <v>SUCN0001</v>
      </c>
      <c r="M59" s="66" t="s">
        <v>120</v>
      </c>
      <c r="N59" s="66"/>
      <c r="O59" s="66">
        <v>22</v>
      </c>
      <c r="P59" s="66">
        <v>140</v>
      </c>
      <c r="Q59" s="66">
        <v>200</v>
      </c>
      <c r="R59" s="33">
        <v>17.399999999999999</v>
      </c>
      <c r="S59" s="33">
        <v>19.100000000000001</v>
      </c>
      <c r="T59" s="66" t="s">
        <v>153</v>
      </c>
      <c r="U59" s="34">
        <v>148</v>
      </c>
      <c r="V59" s="34">
        <v>30</v>
      </c>
      <c r="W59" s="34">
        <v>30</v>
      </c>
      <c r="X59" s="66"/>
      <c r="Y59" s="66">
        <v>5</v>
      </c>
      <c r="Z59" s="34"/>
      <c r="AA59" s="34">
        <v>87</v>
      </c>
      <c r="AB59" s="34">
        <v>2416195.7236505873</v>
      </c>
      <c r="AC59" s="34">
        <f t="shared" si="5"/>
        <v>2609491.3815426342</v>
      </c>
      <c r="AD59" s="66"/>
      <c r="AE59" s="66" t="s">
        <v>154</v>
      </c>
      <c r="AF59" s="66"/>
    </row>
    <row r="60" spans="2:32">
      <c r="B60" s="66" t="str">
        <f t="shared" si="2"/>
        <v>MAT005</v>
      </c>
      <c r="C60" s="66" t="str">
        <f t="shared" si="7"/>
        <v>MAT005005</v>
      </c>
      <c r="D60" s="66" t="s">
        <v>149</v>
      </c>
      <c r="E60" s="66" t="s">
        <v>150</v>
      </c>
      <c r="F60" s="66" t="s">
        <v>158</v>
      </c>
      <c r="G60" s="66" t="s">
        <v>181</v>
      </c>
      <c r="H60" s="72" t="s">
        <v>339</v>
      </c>
      <c r="I60" s="66" t="s">
        <v>158</v>
      </c>
      <c r="J60" s="66" t="str">
        <f t="shared" si="3"/>
        <v>160 x 200 x 22 cm</v>
      </c>
      <c r="K60" s="66" t="str">
        <f t="shared" si="8"/>
        <v>Nệm Power X Flow 160 x 200 x 22 cm</v>
      </c>
      <c r="L60" s="66" t="str">
        <f>_xlfn.XLOOKUP(M60,'0. Mã Supplier'!$B:$B,'0. Mã Supplier'!$C:$C,0)</f>
        <v>SUCN0001</v>
      </c>
      <c r="M60" s="66" t="s">
        <v>120</v>
      </c>
      <c r="N60" s="66"/>
      <c r="O60" s="66">
        <v>22</v>
      </c>
      <c r="P60" s="66">
        <v>160</v>
      </c>
      <c r="Q60" s="66">
        <v>200</v>
      </c>
      <c r="R60" s="33">
        <v>19.910714285714285</v>
      </c>
      <c r="S60" s="33">
        <v>22.5</v>
      </c>
      <c r="T60" s="66" t="s">
        <v>153</v>
      </c>
      <c r="U60" s="34">
        <v>168</v>
      </c>
      <c r="V60" s="34">
        <v>30</v>
      </c>
      <c r="W60" s="34">
        <v>30</v>
      </c>
      <c r="X60" s="66"/>
      <c r="Y60" s="66">
        <v>5</v>
      </c>
      <c r="Z60" s="34"/>
      <c r="AA60" s="34">
        <v>97</v>
      </c>
      <c r="AB60" s="34">
        <v>2696997.8484682338</v>
      </c>
      <c r="AC60" s="34">
        <f t="shared" si="5"/>
        <v>2912757.6763456929</v>
      </c>
      <c r="AD60" s="66"/>
      <c r="AE60" s="66" t="s">
        <v>154</v>
      </c>
      <c r="AF60" s="66"/>
    </row>
    <row r="61" spans="2:32">
      <c r="B61" s="66" t="str">
        <f t="shared" si="2"/>
        <v>MAT005</v>
      </c>
      <c r="C61" s="66" t="str">
        <f t="shared" si="7"/>
        <v>MAT005006</v>
      </c>
      <c r="D61" s="66" t="s">
        <v>149</v>
      </c>
      <c r="E61" s="66" t="s">
        <v>150</v>
      </c>
      <c r="F61" s="66" t="s">
        <v>158</v>
      </c>
      <c r="G61" s="66" t="s">
        <v>181</v>
      </c>
      <c r="H61" s="72" t="s">
        <v>339</v>
      </c>
      <c r="I61" s="66" t="s">
        <v>159</v>
      </c>
      <c r="J61" s="66" t="str">
        <f t="shared" si="3"/>
        <v>180 x 200 x 22 cm</v>
      </c>
      <c r="K61" s="66" t="str">
        <f t="shared" si="8"/>
        <v>Nệm Power X Flow 180 x 200 x 22 cm</v>
      </c>
      <c r="L61" s="66" t="str">
        <f>_xlfn.XLOOKUP(M61,'0. Mã Supplier'!$B:$B,'0. Mã Supplier'!$C:$C,0)</f>
        <v>SUCN0001</v>
      </c>
      <c r="M61" s="66" t="s">
        <v>120</v>
      </c>
      <c r="N61" s="66"/>
      <c r="O61" s="66">
        <v>22</v>
      </c>
      <c r="P61" s="66">
        <v>180</v>
      </c>
      <c r="Q61" s="66">
        <v>200</v>
      </c>
      <c r="R61" s="33">
        <v>21.6</v>
      </c>
      <c r="S61" s="33">
        <v>23.7</v>
      </c>
      <c r="T61" s="66" t="s">
        <v>153</v>
      </c>
      <c r="U61" s="34">
        <v>188</v>
      </c>
      <c r="V61" s="34">
        <v>30</v>
      </c>
      <c r="W61" s="34">
        <v>30</v>
      </c>
      <c r="X61" s="66"/>
      <c r="Y61" s="66">
        <v>5</v>
      </c>
      <c r="Z61" s="34"/>
      <c r="AA61" s="34">
        <v>106</v>
      </c>
      <c r="AB61" s="34">
        <v>2951779.9732858809</v>
      </c>
      <c r="AC61" s="34">
        <f t="shared" si="5"/>
        <v>3187922.3711487516</v>
      </c>
      <c r="AD61" s="66"/>
      <c r="AE61" s="66" t="s">
        <v>154</v>
      </c>
      <c r="AF61" s="66"/>
    </row>
    <row r="62" spans="2:32">
      <c r="B62" s="66" t="str">
        <f t="shared" si="2"/>
        <v>MAT005</v>
      </c>
      <c r="C62" s="66" t="str">
        <f t="shared" si="7"/>
        <v>MAT005007</v>
      </c>
      <c r="D62" s="66" t="s">
        <v>149</v>
      </c>
      <c r="E62" s="66" t="s">
        <v>150</v>
      </c>
      <c r="F62" s="66" t="s">
        <v>158</v>
      </c>
      <c r="G62" s="66" t="s">
        <v>181</v>
      </c>
      <c r="H62" s="72" t="s">
        <v>339</v>
      </c>
      <c r="I62" s="66" t="s">
        <v>160</v>
      </c>
      <c r="J62" s="66" t="str">
        <f t="shared" si="3"/>
        <v>200 x 200 x 22 cm</v>
      </c>
      <c r="K62" s="66" t="str">
        <f t="shared" si="8"/>
        <v>Nệm Power X Flow 200 x 200 x 22 cm</v>
      </c>
      <c r="L62" s="66" t="str">
        <f>_xlfn.XLOOKUP(M62,'0. Mã Supplier'!$B:$B,'0. Mã Supplier'!$C:$C,0)</f>
        <v>SUCN0001</v>
      </c>
      <c r="M62" s="66" t="s">
        <v>120</v>
      </c>
      <c r="N62" s="66"/>
      <c r="O62" s="66">
        <v>22</v>
      </c>
      <c r="P62" s="66">
        <v>200</v>
      </c>
      <c r="Q62" s="66">
        <v>200</v>
      </c>
      <c r="R62" s="33">
        <v>0</v>
      </c>
      <c r="S62" s="33">
        <v>0</v>
      </c>
      <c r="T62" s="66" t="s">
        <v>153</v>
      </c>
      <c r="U62" s="34">
        <v>208</v>
      </c>
      <c r="V62" s="34">
        <v>30</v>
      </c>
      <c r="W62" s="34">
        <v>30</v>
      </c>
      <c r="X62" s="66"/>
      <c r="Y62" s="66">
        <v>5</v>
      </c>
      <c r="Z62" s="34"/>
      <c r="AA62" s="34">
        <v>0</v>
      </c>
      <c r="AB62" s="34">
        <v>0</v>
      </c>
      <c r="AC62" s="34">
        <f t="shared" si="5"/>
        <v>0</v>
      </c>
      <c r="AD62" s="66"/>
      <c r="AE62" s="66" t="s">
        <v>154</v>
      </c>
      <c r="AF62" s="66"/>
    </row>
    <row r="63" spans="2:32">
      <c r="B63" s="66" t="str">
        <f t="shared" si="2"/>
        <v>MAT005</v>
      </c>
      <c r="C63" s="66" t="str">
        <f t="shared" si="7"/>
        <v>MAT005008</v>
      </c>
      <c r="D63" s="66" t="s">
        <v>149</v>
      </c>
      <c r="E63" s="66" t="s">
        <v>150</v>
      </c>
      <c r="F63" s="66" t="s">
        <v>158</v>
      </c>
      <c r="G63" s="66" t="s">
        <v>181</v>
      </c>
      <c r="H63" s="72" t="s">
        <v>339</v>
      </c>
      <c r="I63" s="66" t="s">
        <v>161</v>
      </c>
      <c r="J63" s="66" t="str">
        <f t="shared" si="3"/>
        <v>200 x 220 x 22 cm</v>
      </c>
      <c r="K63" s="66" t="str">
        <f t="shared" si="8"/>
        <v>Nệm Power X Flow 200 x 220 x 22 cm</v>
      </c>
      <c r="L63" s="66" t="str">
        <f>_xlfn.XLOOKUP(M63,'0. Mã Supplier'!$B:$B,'0. Mã Supplier'!$C:$C,0)</f>
        <v>SUCN0001</v>
      </c>
      <c r="M63" s="66" t="s">
        <v>120</v>
      </c>
      <c r="N63" s="66"/>
      <c r="O63" s="66">
        <v>22</v>
      </c>
      <c r="P63" s="66">
        <v>200</v>
      </c>
      <c r="Q63" s="66">
        <v>220</v>
      </c>
      <c r="R63" s="33">
        <v>25.7</v>
      </c>
      <c r="S63" s="33">
        <v>27.9</v>
      </c>
      <c r="T63" s="66" t="s">
        <v>153</v>
      </c>
      <c r="U63" s="34">
        <v>208</v>
      </c>
      <c r="V63" s="34">
        <v>30</v>
      </c>
      <c r="W63" s="34">
        <v>30</v>
      </c>
      <c r="X63" s="66"/>
      <c r="Y63" s="66">
        <v>5</v>
      </c>
      <c r="Z63" s="34"/>
      <c r="AA63" s="34">
        <v>121.18</v>
      </c>
      <c r="AB63" s="34">
        <v>3367365.698103528</v>
      </c>
      <c r="AC63" s="34">
        <f t="shared" si="5"/>
        <v>3636754.9539518105</v>
      </c>
      <c r="AD63" s="66"/>
      <c r="AE63" s="66" t="s">
        <v>154</v>
      </c>
      <c r="AF63" s="66"/>
    </row>
    <row r="64" spans="2:32">
      <c r="B64" s="66" t="str">
        <f t="shared" si="2"/>
        <v>MAT006</v>
      </c>
      <c r="C64" s="66" t="str">
        <f t="shared" si="7"/>
        <v>MAT006001</v>
      </c>
      <c r="D64" s="66" t="s">
        <v>149</v>
      </c>
      <c r="E64" s="66" t="s">
        <v>150</v>
      </c>
      <c r="F64" s="66" t="s">
        <v>159</v>
      </c>
      <c r="G64" s="66" t="s">
        <v>182</v>
      </c>
      <c r="H64" s="72" t="s">
        <v>340</v>
      </c>
      <c r="I64" s="66" t="s">
        <v>151</v>
      </c>
      <c r="J64" s="66" t="str">
        <f t="shared" si="3"/>
        <v>80 x 200 x 27 cm</v>
      </c>
      <c r="K64" s="66" t="str">
        <f t="shared" si="8"/>
        <v>Nệm Power X Fusion 80 x 200 x 27 cm</v>
      </c>
      <c r="L64" s="66" t="str">
        <f>_xlfn.XLOOKUP(M64,'0. Mã Supplier'!$B:$B,'0. Mã Supplier'!$C:$C,0)</f>
        <v>SUCN0001</v>
      </c>
      <c r="M64" s="66" t="s">
        <v>120</v>
      </c>
      <c r="N64" s="66"/>
      <c r="O64" s="66">
        <v>27</v>
      </c>
      <c r="P64" s="66">
        <v>80</v>
      </c>
      <c r="Q64" s="66">
        <v>200</v>
      </c>
      <c r="R64" s="33">
        <v>0</v>
      </c>
      <c r="S64" s="33">
        <v>0</v>
      </c>
      <c r="T64" s="66" t="s">
        <v>153</v>
      </c>
      <c r="U64" s="34"/>
      <c r="V64" s="34">
        <v>0</v>
      </c>
      <c r="W64" s="34"/>
      <c r="X64" s="66"/>
      <c r="Y64" s="66">
        <v>5</v>
      </c>
      <c r="Z64" s="34"/>
      <c r="AA64" s="34">
        <v>0</v>
      </c>
      <c r="AB64" s="34">
        <v>0</v>
      </c>
      <c r="AC64" s="34">
        <f t="shared" si="5"/>
        <v>0</v>
      </c>
      <c r="AD64" s="66"/>
      <c r="AE64" s="66" t="s">
        <v>154</v>
      </c>
      <c r="AF64" s="66"/>
    </row>
    <row r="65" spans="2:32">
      <c r="B65" s="66" t="str">
        <f t="shared" si="2"/>
        <v>MAT006</v>
      </c>
      <c r="C65" s="66" t="str">
        <f t="shared" si="7"/>
        <v>MAT006002</v>
      </c>
      <c r="D65" s="66" t="s">
        <v>149</v>
      </c>
      <c r="E65" s="66" t="s">
        <v>150</v>
      </c>
      <c r="F65" s="66" t="s">
        <v>159</v>
      </c>
      <c r="G65" s="66" t="s">
        <v>182</v>
      </c>
      <c r="H65" s="72" t="s">
        <v>340</v>
      </c>
      <c r="I65" s="66" t="s">
        <v>155</v>
      </c>
      <c r="J65" s="66" t="str">
        <f t="shared" si="3"/>
        <v>100 x 200 x 27 cm</v>
      </c>
      <c r="K65" s="66" t="str">
        <f t="shared" si="8"/>
        <v>Nệm Power X Fusion 100 x 200 x 27 cm</v>
      </c>
      <c r="L65" s="66" t="str">
        <f>_xlfn.XLOOKUP(M65,'0. Mã Supplier'!$B:$B,'0. Mã Supplier'!$C:$C,0)</f>
        <v>SUCN0001</v>
      </c>
      <c r="M65" s="66" t="s">
        <v>120</v>
      </c>
      <c r="N65" s="66"/>
      <c r="O65" s="66">
        <v>27</v>
      </c>
      <c r="P65" s="66">
        <v>100</v>
      </c>
      <c r="Q65" s="66">
        <v>200</v>
      </c>
      <c r="R65" s="33">
        <v>0</v>
      </c>
      <c r="S65" s="33">
        <v>0</v>
      </c>
      <c r="T65" s="66" t="s">
        <v>153</v>
      </c>
      <c r="U65" s="34"/>
      <c r="V65" s="34">
        <v>0</v>
      </c>
      <c r="W65" s="34"/>
      <c r="X65" s="66"/>
      <c r="Y65" s="66">
        <v>5</v>
      </c>
      <c r="Z65" s="34"/>
      <c r="AA65" s="34">
        <v>0</v>
      </c>
      <c r="AB65" s="34">
        <v>0</v>
      </c>
      <c r="AC65" s="34">
        <f t="shared" si="5"/>
        <v>0</v>
      </c>
      <c r="AD65" s="66"/>
      <c r="AE65" s="66" t="s">
        <v>154</v>
      </c>
      <c r="AF65" s="66"/>
    </row>
    <row r="66" spans="2:32">
      <c r="B66" s="66" t="str">
        <f t="shared" si="2"/>
        <v>MAT006</v>
      </c>
      <c r="C66" s="66" t="str">
        <f t="shared" si="7"/>
        <v>MAT006003</v>
      </c>
      <c r="D66" s="66" t="s">
        <v>149</v>
      </c>
      <c r="E66" s="66" t="s">
        <v>150</v>
      </c>
      <c r="F66" s="66" t="s">
        <v>159</v>
      </c>
      <c r="G66" s="66" t="s">
        <v>182</v>
      </c>
      <c r="H66" s="72" t="s">
        <v>340</v>
      </c>
      <c r="I66" s="66" t="s">
        <v>156</v>
      </c>
      <c r="J66" s="66" t="str">
        <f t="shared" si="3"/>
        <v>120 x 200 x 27 cm</v>
      </c>
      <c r="K66" s="66" t="str">
        <f t="shared" si="8"/>
        <v>Nệm Power X Fusion 120 x 200 x 27 cm</v>
      </c>
      <c r="L66" s="66" t="str">
        <f>_xlfn.XLOOKUP(M66,'0. Mã Supplier'!$B:$B,'0. Mã Supplier'!$C:$C,0)</f>
        <v>SUCN0001</v>
      </c>
      <c r="M66" s="66" t="s">
        <v>120</v>
      </c>
      <c r="N66" s="66"/>
      <c r="O66" s="66">
        <v>27</v>
      </c>
      <c r="P66" s="66">
        <v>120</v>
      </c>
      <c r="Q66" s="66">
        <v>200</v>
      </c>
      <c r="R66" s="33">
        <v>27.3</v>
      </c>
      <c r="S66" s="33">
        <v>29.2</v>
      </c>
      <c r="T66" s="66" t="s">
        <v>153</v>
      </c>
      <c r="U66" s="34">
        <v>128</v>
      </c>
      <c r="V66" s="34">
        <v>36</v>
      </c>
      <c r="W66" s="34">
        <v>36</v>
      </c>
      <c r="X66" s="66"/>
      <c r="Y66" s="66">
        <v>5</v>
      </c>
      <c r="Z66" s="34"/>
      <c r="AA66" s="34">
        <v>130</v>
      </c>
      <c r="AB66" s="34">
        <v>3572469.1823194339</v>
      </c>
      <c r="AC66" s="34">
        <f t="shared" si="5"/>
        <v>3858266.716904989</v>
      </c>
      <c r="AD66" s="66"/>
      <c r="AE66" s="66" t="s">
        <v>154</v>
      </c>
      <c r="AF66" s="66"/>
    </row>
    <row r="67" spans="2:32">
      <c r="B67" s="66" t="str">
        <f t="shared" si="2"/>
        <v>MAT006</v>
      </c>
      <c r="C67" s="66" t="str">
        <f t="shared" si="7"/>
        <v>MAT006004</v>
      </c>
      <c r="D67" s="66" t="s">
        <v>149</v>
      </c>
      <c r="E67" s="66" t="s">
        <v>150</v>
      </c>
      <c r="F67" s="66" t="s">
        <v>159</v>
      </c>
      <c r="G67" s="66" t="s">
        <v>182</v>
      </c>
      <c r="H67" s="72" t="s">
        <v>340</v>
      </c>
      <c r="I67" s="66" t="s">
        <v>157</v>
      </c>
      <c r="J67" s="66" t="str">
        <f t="shared" si="3"/>
        <v>140 x 200 x 27 cm</v>
      </c>
      <c r="K67" s="66" t="str">
        <f t="shared" si="8"/>
        <v>Nệm Power X Fusion 140 x 200 x 27 cm</v>
      </c>
      <c r="L67" s="66" t="str">
        <f>_xlfn.XLOOKUP(M67,'0. Mã Supplier'!$B:$B,'0. Mã Supplier'!$C:$C,0)</f>
        <v>SUCN0001</v>
      </c>
      <c r="M67" s="66" t="s">
        <v>120</v>
      </c>
      <c r="N67" s="66"/>
      <c r="O67" s="66">
        <v>27</v>
      </c>
      <c r="P67" s="66">
        <v>140</v>
      </c>
      <c r="Q67" s="66">
        <v>200</v>
      </c>
      <c r="R67" s="33">
        <v>32.6</v>
      </c>
      <c r="S67" s="33">
        <v>34.700000000000003</v>
      </c>
      <c r="T67" s="66" t="s">
        <v>153</v>
      </c>
      <c r="U67" s="34">
        <v>148</v>
      </c>
      <c r="V67" s="34">
        <v>36</v>
      </c>
      <c r="W67" s="34">
        <v>36</v>
      </c>
      <c r="X67" s="66"/>
      <c r="Y67" s="66">
        <v>5</v>
      </c>
      <c r="Z67" s="34"/>
      <c r="AA67" s="34">
        <v>143</v>
      </c>
      <c r="AB67" s="34">
        <v>3940396.2420568457</v>
      </c>
      <c r="AC67" s="34">
        <f t="shared" si="5"/>
        <v>4255627.9414213933</v>
      </c>
      <c r="AD67" s="66"/>
      <c r="AE67" s="66" t="s">
        <v>154</v>
      </c>
      <c r="AF67" s="66"/>
    </row>
    <row r="68" spans="2:32">
      <c r="B68" s="66" t="str">
        <f t="shared" si="2"/>
        <v>MAT006</v>
      </c>
      <c r="C68" s="66" t="str">
        <f t="shared" si="7"/>
        <v>MAT006005</v>
      </c>
      <c r="D68" s="66" t="s">
        <v>149</v>
      </c>
      <c r="E68" s="66" t="s">
        <v>150</v>
      </c>
      <c r="F68" s="66" t="s">
        <v>159</v>
      </c>
      <c r="G68" s="66" t="s">
        <v>182</v>
      </c>
      <c r="H68" s="72" t="s">
        <v>340</v>
      </c>
      <c r="I68" s="66" t="s">
        <v>158</v>
      </c>
      <c r="J68" s="66" t="str">
        <f t="shared" si="3"/>
        <v>160 x 200 x 27 cm</v>
      </c>
      <c r="K68" s="66" t="str">
        <f t="shared" si="8"/>
        <v>Nệm Power X Fusion 160 x 200 x 27 cm</v>
      </c>
      <c r="L68" s="66" t="str">
        <f>_xlfn.XLOOKUP(M68,'0. Mã Supplier'!$B:$B,'0. Mã Supplier'!$C:$C,0)</f>
        <v>SUCN0001</v>
      </c>
      <c r="M68" s="66" t="s">
        <v>120</v>
      </c>
      <c r="N68" s="66"/>
      <c r="O68" s="66">
        <v>27</v>
      </c>
      <c r="P68" s="66">
        <v>160</v>
      </c>
      <c r="Q68" s="66">
        <v>200</v>
      </c>
      <c r="R68" s="33">
        <v>36.823846153846155</v>
      </c>
      <c r="S68" s="33">
        <v>39.285384615384615</v>
      </c>
      <c r="T68" s="66" t="s">
        <v>153</v>
      </c>
      <c r="U68" s="34">
        <v>168</v>
      </c>
      <c r="V68" s="34">
        <v>36</v>
      </c>
      <c r="W68" s="34">
        <v>36</v>
      </c>
      <c r="X68" s="66"/>
      <c r="Y68" s="66">
        <v>5</v>
      </c>
      <c r="Z68" s="34"/>
      <c r="AA68" s="34">
        <v>160</v>
      </c>
      <c r="AB68" s="34">
        <v>4412403.301794257</v>
      </c>
      <c r="AC68" s="34">
        <f t="shared" si="5"/>
        <v>4765395.5659377975</v>
      </c>
      <c r="AD68" s="66"/>
      <c r="AE68" s="66" t="s">
        <v>154</v>
      </c>
      <c r="AF68" s="66"/>
    </row>
    <row r="69" spans="2:32">
      <c r="B69" s="66" t="str">
        <f t="shared" si="2"/>
        <v>MAT006</v>
      </c>
      <c r="C69" s="66" t="str">
        <f t="shared" si="7"/>
        <v>MAT006006</v>
      </c>
      <c r="D69" s="66" t="s">
        <v>149</v>
      </c>
      <c r="E69" s="66" t="s">
        <v>150</v>
      </c>
      <c r="F69" s="66" t="s">
        <v>159</v>
      </c>
      <c r="G69" s="66" t="s">
        <v>182</v>
      </c>
      <c r="H69" s="72" t="s">
        <v>340</v>
      </c>
      <c r="I69" s="66" t="s">
        <v>159</v>
      </c>
      <c r="J69" s="66" t="str">
        <f t="shared" si="3"/>
        <v>180 x 200 x 27 cm</v>
      </c>
      <c r="K69" s="66" t="str">
        <f t="shared" si="8"/>
        <v>Nệm Power X Fusion 180 x 200 x 27 cm</v>
      </c>
      <c r="L69" s="66" t="str">
        <f>_xlfn.XLOOKUP(M69,'0. Mã Supplier'!$B:$B,'0. Mã Supplier'!$C:$C,0)</f>
        <v>SUCN0001</v>
      </c>
      <c r="M69" s="66" t="s">
        <v>120</v>
      </c>
      <c r="N69" s="66"/>
      <c r="O69" s="66">
        <v>27</v>
      </c>
      <c r="P69" s="66">
        <v>180</v>
      </c>
      <c r="Q69" s="66">
        <v>200</v>
      </c>
      <c r="R69" s="33">
        <v>41</v>
      </c>
      <c r="S69" s="33">
        <v>43.1</v>
      </c>
      <c r="T69" s="66" t="s">
        <v>153</v>
      </c>
      <c r="U69" s="34">
        <v>188</v>
      </c>
      <c r="V69" s="34">
        <v>36</v>
      </c>
      <c r="W69" s="34">
        <v>36</v>
      </c>
      <c r="X69" s="66"/>
      <c r="Y69" s="66">
        <v>5</v>
      </c>
      <c r="Z69" s="34"/>
      <c r="AA69" s="34">
        <v>174</v>
      </c>
      <c r="AB69" s="34">
        <v>4806350.3615316683</v>
      </c>
      <c r="AC69" s="34">
        <f t="shared" si="5"/>
        <v>5190858.390454202</v>
      </c>
      <c r="AD69" s="66"/>
      <c r="AE69" s="66" t="s">
        <v>154</v>
      </c>
      <c r="AF69" s="66"/>
    </row>
    <row r="70" spans="2:32">
      <c r="B70" s="66" t="str">
        <f t="shared" si="2"/>
        <v>MAT006</v>
      </c>
      <c r="C70" s="66" t="str">
        <f t="shared" si="7"/>
        <v>MAT006007</v>
      </c>
      <c r="D70" s="66" t="s">
        <v>149</v>
      </c>
      <c r="E70" s="66" t="s">
        <v>150</v>
      </c>
      <c r="F70" s="66" t="s">
        <v>159</v>
      </c>
      <c r="G70" s="66" t="s">
        <v>182</v>
      </c>
      <c r="H70" s="72" t="s">
        <v>340</v>
      </c>
      <c r="I70" s="66" t="s">
        <v>160</v>
      </c>
      <c r="J70" s="66" t="str">
        <f t="shared" si="3"/>
        <v>200 x 200 x 27 cm</v>
      </c>
      <c r="K70" s="66" t="str">
        <f t="shared" si="8"/>
        <v>Nệm Power X Fusion 200 x 200 x 27 cm</v>
      </c>
      <c r="L70" s="66" t="str">
        <f>_xlfn.XLOOKUP(M70,'0. Mã Supplier'!$B:$B,'0. Mã Supplier'!$C:$C,0)</f>
        <v>SUCN0001</v>
      </c>
      <c r="M70" s="66" t="s">
        <v>120</v>
      </c>
      <c r="N70" s="66"/>
      <c r="O70" s="66">
        <v>27</v>
      </c>
      <c r="P70" s="66">
        <v>200</v>
      </c>
      <c r="Q70" s="66">
        <v>200</v>
      </c>
      <c r="R70" s="33">
        <v>0</v>
      </c>
      <c r="S70" s="33">
        <v>0</v>
      </c>
      <c r="T70" s="66" t="s">
        <v>153</v>
      </c>
      <c r="U70" s="34">
        <v>208</v>
      </c>
      <c r="V70" s="34">
        <v>36</v>
      </c>
      <c r="W70" s="34">
        <v>36</v>
      </c>
      <c r="X70" s="66"/>
      <c r="Y70" s="66">
        <v>5</v>
      </c>
      <c r="Z70" s="34"/>
      <c r="AA70" s="34">
        <v>0</v>
      </c>
      <c r="AB70" s="34">
        <v>0</v>
      </c>
      <c r="AC70" s="34">
        <f t="shared" si="5"/>
        <v>0</v>
      </c>
      <c r="AD70" s="66"/>
      <c r="AE70" s="66" t="s">
        <v>154</v>
      </c>
      <c r="AF70" s="66"/>
    </row>
    <row r="71" spans="2:32">
      <c r="B71" s="66" t="str">
        <f t="shared" si="2"/>
        <v>MAT006</v>
      </c>
      <c r="C71" s="66" t="str">
        <f t="shared" si="7"/>
        <v>MAT006008</v>
      </c>
      <c r="D71" s="66" t="s">
        <v>149</v>
      </c>
      <c r="E71" s="66" t="s">
        <v>150</v>
      </c>
      <c r="F71" s="66" t="s">
        <v>159</v>
      </c>
      <c r="G71" s="66" t="s">
        <v>182</v>
      </c>
      <c r="H71" s="72" t="s">
        <v>340</v>
      </c>
      <c r="I71" s="66" t="s">
        <v>161</v>
      </c>
      <c r="J71" s="66" t="str">
        <f t="shared" si="3"/>
        <v>200 x 220 x 27 cm</v>
      </c>
      <c r="K71" s="66" t="str">
        <f t="shared" si="8"/>
        <v>Nệm Power X Fusion 200 x 220 x 27 cm</v>
      </c>
      <c r="L71" s="66" t="str">
        <f>_xlfn.XLOOKUP(M71,'0. Mã Supplier'!$B:$B,'0. Mã Supplier'!$C:$C,0)</f>
        <v>SUCN0001</v>
      </c>
      <c r="M71" s="66" t="s">
        <v>120</v>
      </c>
      <c r="N71" s="66"/>
      <c r="O71" s="66">
        <v>27</v>
      </c>
      <c r="P71" s="66">
        <v>200</v>
      </c>
      <c r="Q71" s="66">
        <v>220</v>
      </c>
      <c r="R71" s="33">
        <v>49.2</v>
      </c>
      <c r="S71" s="33">
        <v>52.1</v>
      </c>
      <c r="T71" s="66" t="s">
        <v>153</v>
      </c>
      <c r="U71" s="34">
        <v>208</v>
      </c>
      <c r="V71" s="34">
        <v>36</v>
      </c>
      <c r="W71" s="34">
        <v>36</v>
      </c>
      <c r="X71" s="66"/>
      <c r="Y71" s="66">
        <v>5</v>
      </c>
      <c r="Z71" s="34"/>
      <c r="AA71" s="34">
        <v>194</v>
      </c>
      <c r="AB71" s="34">
        <v>5356417.4212690797</v>
      </c>
      <c r="AC71" s="34">
        <f t="shared" si="5"/>
        <v>5784930.814970606</v>
      </c>
      <c r="AD71" s="66"/>
      <c r="AE71" s="66" t="s">
        <v>154</v>
      </c>
      <c r="AF71" s="66"/>
    </row>
    <row r="72" spans="2:32">
      <c r="B72" s="66" t="str">
        <f t="shared" si="2"/>
        <v>MAT007</v>
      </c>
      <c r="C72" s="66" t="str">
        <f t="shared" ref="C72:C103" si="9">_xlfn.CONCAT(D72,F72,I72)</f>
        <v>MAT007001</v>
      </c>
      <c r="D72" s="66" t="s">
        <v>149</v>
      </c>
      <c r="E72" s="66" t="s">
        <v>150</v>
      </c>
      <c r="F72" s="66" t="s">
        <v>160</v>
      </c>
      <c r="G72" s="66" t="s">
        <v>183</v>
      </c>
      <c r="H72" s="72" t="s">
        <v>341</v>
      </c>
      <c r="I72" s="66" t="s">
        <v>151</v>
      </c>
      <c r="J72" s="66" t="str">
        <f t="shared" si="3"/>
        <v>80 x 200 x 30 cm</v>
      </c>
      <c r="K72" s="66" t="str">
        <f t="shared" ref="K72:K103" si="10">_xlfn.CONCAT(E72," ",G72," ",J72)</f>
        <v>Nệm Power X Prime 80 x 200 x 30 cm</v>
      </c>
      <c r="L72" s="66" t="str">
        <f>_xlfn.XLOOKUP(M72,'0. Mã Supplier'!$B:$B,'0. Mã Supplier'!$C:$C,0)</f>
        <v>SUCN0001</v>
      </c>
      <c r="M72" s="66" t="s">
        <v>120</v>
      </c>
      <c r="N72" s="66"/>
      <c r="O72" s="66">
        <v>30</v>
      </c>
      <c r="P72" s="66">
        <v>80</v>
      </c>
      <c r="Q72" s="66">
        <v>200</v>
      </c>
      <c r="R72" s="33">
        <v>0</v>
      </c>
      <c r="S72" s="33">
        <v>0</v>
      </c>
      <c r="T72" s="66" t="s">
        <v>153</v>
      </c>
      <c r="U72" s="34"/>
      <c r="V72" s="34">
        <v>0</v>
      </c>
      <c r="W72" s="34"/>
      <c r="X72" s="66"/>
      <c r="Y72" s="66">
        <v>5</v>
      </c>
      <c r="Z72" s="34"/>
      <c r="AA72" s="34">
        <v>0</v>
      </c>
      <c r="AB72" s="34">
        <v>0</v>
      </c>
      <c r="AC72" s="34">
        <f t="shared" si="5"/>
        <v>0</v>
      </c>
      <c r="AD72" s="66"/>
      <c r="AE72" s="66" t="s">
        <v>154</v>
      </c>
      <c r="AF72" s="66"/>
    </row>
    <row r="73" spans="2:32">
      <c r="B73" s="66" t="str">
        <f t="shared" ref="B73:B142" si="11">D73&amp;F73</f>
        <v>MAT007</v>
      </c>
      <c r="C73" s="66" t="str">
        <f t="shared" si="9"/>
        <v>MAT007002</v>
      </c>
      <c r="D73" s="66" t="s">
        <v>149</v>
      </c>
      <c r="E73" s="66" t="s">
        <v>150</v>
      </c>
      <c r="F73" s="66" t="s">
        <v>160</v>
      </c>
      <c r="G73" s="66" t="s">
        <v>183</v>
      </c>
      <c r="H73" s="72" t="s">
        <v>341</v>
      </c>
      <c r="I73" s="66" t="s">
        <v>155</v>
      </c>
      <c r="J73" s="66" t="str">
        <f t="shared" ref="J73:J85" si="12">P73&amp;" x "&amp;Q73&amp;" x "&amp;O73&amp;" cm"</f>
        <v>100 x 200 x 30 cm</v>
      </c>
      <c r="K73" s="66" t="str">
        <f t="shared" si="10"/>
        <v>Nệm Power X Prime 100 x 200 x 30 cm</v>
      </c>
      <c r="L73" s="66" t="str">
        <f>_xlfn.XLOOKUP(M73,'0. Mã Supplier'!$B:$B,'0. Mã Supplier'!$C:$C,0)</f>
        <v>SUCN0001</v>
      </c>
      <c r="M73" s="66" t="s">
        <v>120</v>
      </c>
      <c r="N73" s="66"/>
      <c r="O73" s="66">
        <v>30</v>
      </c>
      <c r="P73" s="66">
        <v>100</v>
      </c>
      <c r="Q73" s="66">
        <v>200</v>
      </c>
      <c r="R73" s="33">
        <v>0</v>
      </c>
      <c r="S73" s="33">
        <v>0</v>
      </c>
      <c r="T73" s="66" t="s">
        <v>153</v>
      </c>
      <c r="U73" s="34"/>
      <c r="V73" s="34">
        <v>0</v>
      </c>
      <c r="W73" s="34"/>
      <c r="X73" s="66"/>
      <c r="Y73" s="66">
        <v>5</v>
      </c>
      <c r="Z73" s="34"/>
      <c r="AA73" s="34">
        <v>0</v>
      </c>
      <c r="AB73" s="34">
        <v>0</v>
      </c>
      <c r="AC73" s="34">
        <f t="shared" ref="AC73:AC136" si="13">AB73*1.08</f>
        <v>0</v>
      </c>
      <c r="AD73" s="66"/>
      <c r="AE73" s="66" t="s">
        <v>154</v>
      </c>
      <c r="AF73" s="66"/>
    </row>
    <row r="74" spans="2:32">
      <c r="B74" s="66" t="str">
        <f t="shared" si="11"/>
        <v>MAT007</v>
      </c>
      <c r="C74" s="66" t="str">
        <f t="shared" si="9"/>
        <v>MAT007003</v>
      </c>
      <c r="D74" s="66" t="s">
        <v>149</v>
      </c>
      <c r="E74" s="66" t="s">
        <v>150</v>
      </c>
      <c r="F74" s="66" t="s">
        <v>160</v>
      </c>
      <c r="G74" s="66" t="s">
        <v>183</v>
      </c>
      <c r="H74" s="72" t="s">
        <v>341</v>
      </c>
      <c r="I74" s="66" t="s">
        <v>156</v>
      </c>
      <c r="J74" s="66" t="str">
        <f t="shared" si="12"/>
        <v>120 x 200 x 30 cm</v>
      </c>
      <c r="K74" s="66" t="str">
        <f t="shared" si="10"/>
        <v>Nệm Power X Prime 120 x 200 x 30 cm</v>
      </c>
      <c r="L74" s="66" t="str">
        <f>_xlfn.XLOOKUP(M74,'0. Mã Supplier'!$B:$B,'0. Mã Supplier'!$C:$C,0)</f>
        <v>SUCN0001</v>
      </c>
      <c r="M74" s="66" t="s">
        <v>120</v>
      </c>
      <c r="N74" s="66"/>
      <c r="O74" s="66">
        <v>30</v>
      </c>
      <c r="P74" s="66">
        <v>120</v>
      </c>
      <c r="Q74" s="66">
        <v>200</v>
      </c>
      <c r="R74" s="33">
        <v>34.1</v>
      </c>
      <c r="S74" s="33">
        <v>36.9</v>
      </c>
      <c r="T74" s="66" t="s">
        <v>153</v>
      </c>
      <c r="U74" s="34">
        <v>128</v>
      </c>
      <c r="V74" s="34">
        <v>40</v>
      </c>
      <c r="W74" s="34">
        <v>40</v>
      </c>
      <c r="X74" s="66"/>
      <c r="Y74" s="66">
        <v>5</v>
      </c>
      <c r="Z74" s="34"/>
      <c r="AA74" s="34">
        <v>190</v>
      </c>
      <c r="AB74" s="34">
        <v>5178206.3979252269</v>
      </c>
      <c r="AC74" s="34">
        <f t="shared" si="13"/>
        <v>5592462.9097592458</v>
      </c>
      <c r="AD74" s="66"/>
      <c r="AE74" s="66" t="s">
        <v>154</v>
      </c>
      <c r="AF74" s="66"/>
    </row>
    <row r="75" spans="2:32">
      <c r="B75" s="66" t="str">
        <f t="shared" si="11"/>
        <v>MAT007</v>
      </c>
      <c r="C75" s="66" t="str">
        <f t="shared" si="9"/>
        <v>MAT007004</v>
      </c>
      <c r="D75" s="66" t="s">
        <v>149</v>
      </c>
      <c r="E75" s="66" t="s">
        <v>150</v>
      </c>
      <c r="F75" s="66" t="s">
        <v>160</v>
      </c>
      <c r="G75" s="66" t="s">
        <v>183</v>
      </c>
      <c r="H75" s="72" t="s">
        <v>341</v>
      </c>
      <c r="I75" s="66" t="s">
        <v>157</v>
      </c>
      <c r="J75" s="66" t="str">
        <f t="shared" si="12"/>
        <v>140 x 200 x 30 cm</v>
      </c>
      <c r="K75" s="66" t="str">
        <f t="shared" si="10"/>
        <v>Nệm Power X Prime 140 x 200 x 30 cm</v>
      </c>
      <c r="L75" s="66" t="str">
        <f>_xlfn.XLOOKUP(M75,'0. Mã Supplier'!$B:$B,'0. Mã Supplier'!$C:$C,0)</f>
        <v>SUCN0001</v>
      </c>
      <c r="M75" s="66" t="s">
        <v>120</v>
      </c>
      <c r="N75" s="66"/>
      <c r="O75" s="66">
        <v>30</v>
      </c>
      <c r="P75" s="66">
        <v>140</v>
      </c>
      <c r="Q75" s="66">
        <v>200</v>
      </c>
      <c r="R75" s="33">
        <v>38.200000000000003</v>
      </c>
      <c r="S75" s="33">
        <v>40.6</v>
      </c>
      <c r="T75" s="66" t="s">
        <v>153</v>
      </c>
      <c r="U75" s="34">
        <v>148</v>
      </c>
      <c r="V75" s="34">
        <v>40</v>
      </c>
      <c r="W75" s="34">
        <v>40</v>
      </c>
      <c r="X75" s="66"/>
      <c r="Y75" s="66">
        <v>5</v>
      </c>
      <c r="Z75" s="34"/>
      <c r="AA75" s="34">
        <v>217</v>
      </c>
      <c r="AB75" s="34">
        <v>5917372.3976010438</v>
      </c>
      <c r="AC75" s="34">
        <f t="shared" si="13"/>
        <v>6390762.1894091275</v>
      </c>
      <c r="AD75" s="66"/>
      <c r="AE75" s="66" t="s">
        <v>154</v>
      </c>
      <c r="AF75" s="66"/>
    </row>
    <row r="76" spans="2:32">
      <c r="B76" s="66" t="str">
        <f t="shared" si="11"/>
        <v>MAT007</v>
      </c>
      <c r="C76" s="66" t="str">
        <f t="shared" si="9"/>
        <v>MAT007005</v>
      </c>
      <c r="D76" s="66" t="s">
        <v>149</v>
      </c>
      <c r="E76" s="66" t="s">
        <v>150</v>
      </c>
      <c r="F76" s="66" t="s">
        <v>160</v>
      </c>
      <c r="G76" s="66" t="s">
        <v>183</v>
      </c>
      <c r="H76" s="72" t="s">
        <v>341</v>
      </c>
      <c r="I76" s="66" t="s">
        <v>158</v>
      </c>
      <c r="J76" s="66" t="str">
        <f t="shared" si="12"/>
        <v>160 x 200 x 30 cm</v>
      </c>
      <c r="K76" s="66" t="str">
        <f t="shared" si="10"/>
        <v>Nệm Power X Prime 160 x 200 x 30 cm</v>
      </c>
      <c r="L76" s="66" t="str">
        <f>_xlfn.XLOOKUP(M76,'0. Mã Supplier'!$B:$B,'0. Mã Supplier'!$C:$C,0)</f>
        <v>SUCN0001</v>
      </c>
      <c r="M76" s="66" t="s">
        <v>120</v>
      </c>
      <c r="N76" s="66"/>
      <c r="O76" s="66">
        <v>30</v>
      </c>
      <c r="P76" s="66">
        <v>160</v>
      </c>
      <c r="Q76" s="66">
        <v>200</v>
      </c>
      <c r="R76" s="33">
        <v>41.416000000000004</v>
      </c>
      <c r="S76" s="33">
        <v>45.2</v>
      </c>
      <c r="T76" s="66" t="s">
        <v>153</v>
      </c>
      <c r="U76" s="34">
        <v>168</v>
      </c>
      <c r="V76" s="34">
        <v>40</v>
      </c>
      <c r="W76" s="34">
        <v>40</v>
      </c>
      <c r="X76" s="66"/>
      <c r="Y76" s="66">
        <v>5</v>
      </c>
      <c r="Z76" s="34"/>
      <c r="AA76" s="34">
        <v>241</v>
      </c>
      <c r="AB76" s="34">
        <v>6578478.3972768607</v>
      </c>
      <c r="AC76" s="34">
        <f t="shared" si="13"/>
        <v>7104756.6690590102</v>
      </c>
      <c r="AD76" s="66"/>
      <c r="AE76" s="66" t="s">
        <v>154</v>
      </c>
      <c r="AF76" s="66"/>
    </row>
    <row r="77" spans="2:32">
      <c r="B77" s="66" t="str">
        <f t="shared" si="11"/>
        <v>MAT007</v>
      </c>
      <c r="C77" s="66" t="str">
        <f t="shared" si="9"/>
        <v>MAT007006</v>
      </c>
      <c r="D77" s="66" t="s">
        <v>149</v>
      </c>
      <c r="E77" s="66" t="s">
        <v>150</v>
      </c>
      <c r="F77" s="66" t="s">
        <v>160</v>
      </c>
      <c r="G77" s="66" t="s">
        <v>183</v>
      </c>
      <c r="H77" s="72" t="s">
        <v>341</v>
      </c>
      <c r="I77" s="66" t="s">
        <v>159</v>
      </c>
      <c r="J77" s="66" t="str">
        <f t="shared" si="12"/>
        <v>180 x 200 x 30 cm</v>
      </c>
      <c r="K77" s="66" t="str">
        <f t="shared" si="10"/>
        <v>Nệm Power X Prime 180 x 200 x 30 cm</v>
      </c>
      <c r="L77" s="66" t="str">
        <f>_xlfn.XLOOKUP(M77,'0. Mã Supplier'!$B:$B,'0. Mã Supplier'!$C:$C,0)</f>
        <v>SUCN0001</v>
      </c>
      <c r="M77" s="66" t="s">
        <v>120</v>
      </c>
      <c r="N77" s="66"/>
      <c r="O77" s="66">
        <v>30</v>
      </c>
      <c r="P77" s="66">
        <v>180</v>
      </c>
      <c r="Q77" s="66">
        <v>200</v>
      </c>
      <c r="R77" s="33">
        <v>49</v>
      </c>
      <c r="S77" s="33">
        <v>51.5</v>
      </c>
      <c r="T77" s="66" t="s">
        <v>153</v>
      </c>
      <c r="U77" s="34">
        <v>188</v>
      </c>
      <c r="V77" s="34">
        <v>40</v>
      </c>
      <c r="W77" s="34">
        <v>40</v>
      </c>
      <c r="X77" s="66"/>
      <c r="Y77" s="66">
        <v>5</v>
      </c>
      <c r="Z77" s="34"/>
      <c r="AA77" s="34">
        <v>267</v>
      </c>
      <c r="AB77" s="34">
        <v>7291624.3969526775</v>
      </c>
      <c r="AC77" s="34">
        <f t="shared" si="13"/>
        <v>7874954.3487088922</v>
      </c>
      <c r="AD77" s="66"/>
      <c r="AE77" s="66" t="s">
        <v>154</v>
      </c>
      <c r="AF77" s="66"/>
    </row>
    <row r="78" spans="2:32">
      <c r="B78" s="66" t="str">
        <f t="shared" si="11"/>
        <v>MAT007</v>
      </c>
      <c r="C78" s="66" t="str">
        <f t="shared" si="9"/>
        <v>MAT007007</v>
      </c>
      <c r="D78" s="66" t="s">
        <v>149</v>
      </c>
      <c r="E78" s="66" t="s">
        <v>150</v>
      </c>
      <c r="F78" s="66" t="s">
        <v>160</v>
      </c>
      <c r="G78" s="66" t="s">
        <v>183</v>
      </c>
      <c r="H78" s="72" t="s">
        <v>341</v>
      </c>
      <c r="I78" s="66" t="s">
        <v>160</v>
      </c>
      <c r="J78" s="66" t="str">
        <f t="shared" si="12"/>
        <v>200 x 200 x 30 cm</v>
      </c>
      <c r="K78" s="66" t="str">
        <f t="shared" si="10"/>
        <v>Nệm Power X Prime 200 x 200 x 30 cm</v>
      </c>
      <c r="L78" s="66" t="str">
        <f>_xlfn.XLOOKUP(M78,'0. Mã Supplier'!$B:$B,'0. Mã Supplier'!$C:$C,0)</f>
        <v>SUCN0001</v>
      </c>
      <c r="M78" s="66" t="s">
        <v>120</v>
      </c>
      <c r="N78" s="66"/>
      <c r="O78" s="66">
        <v>30</v>
      </c>
      <c r="P78" s="66">
        <v>200</v>
      </c>
      <c r="Q78" s="66">
        <v>200</v>
      </c>
      <c r="R78" s="33">
        <v>0</v>
      </c>
      <c r="S78" s="33">
        <v>0</v>
      </c>
      <c r="T78" s="66" t="s">
        <v>153</v>
      </c>
      <c r="U78" s="34">
        <v>208</v>
      </c>
      <c r="V78" s="34">
        <v>40</v>
      </c>
      <c r="W78" s="34">
        <v>40</v>
      </c>
      <c r="X78" s="66"/>
      <c r="Y78" s="66">
        <v>5</v>
      </c>
      <c r="Z78" s="34"/>
      <c r="AA78" s="34">
        <v>0</v>
      </c>
      <c r="AB78" s="34">
        <v>0</v>
      </c>
      <c r="AC78" s="34">
        <f t="shared" si="13"/>
        <v>0</v>
      </c>
      <c r="AD78" s="66"/>
      <c r="AE78" s="66" t="s">
        <v>154</v>
      </c>
      <c r="AF78" s="66"/>
    </row>
    <row r="79" spans="2:32">
      <c r="B79" s="66" t="str">
        <f t="shared" si="11"/>
        <v>MAT007</v>
      </c>
      <c r="C79" s="66" t="str">
        <f t="shared" si="9"/>
        <v>MAT007008</v>
      </c>
      <c r="D79" s="66" t="s">
        <v>149</v>
      </c>
      <c r="E79" s="66" t="s">
        <v>150</v>
      </c>
      <c r="F79" s="66" t="s">
        <v>160</v>
      </c>
      <c r="G79" s="66" t="s">
        <v>183</v>
      </c>
      <c r="H79" s="72" t="s">
        <v>341</v>
      </c>
      <c r="I79" s="66" t="s">
        <v>161</v>
      </c>
      <c r="J79" s="66" t="str">
        <f t="shared" si="12"/>
        <v>200 x 220 x 30 cm</v>
      </c>
      <c r="K79" s="66" t="str">
        <f t="shared" si="10"/>
        <v>Nệm Power X Prime 200 x 220 x 30 cm</v>
      </c>
      <c r="L79" s="66" t="str">
        <f>_xlfn.XLOOKUP(M79,'0. Mã Supplier'!$B:$B,'0. Mã Supplier'!$C:$C,0)</f>
        <v>SUCN0001</v>
      </c>
      <c r="M79" s="66" t="s">
        <v>120</v>
      </c>
      <c r="N79" s="66"/>
      <c r="O79" s="66">
        <v>30</v>
      </c>
      <c r="P79" s="66">
        <v>200</v>
      </c>
      <c r="Q79" s="66">
        <v>220</v>
      </c>
      <c r="R79" s="33">
        <v>61</v>
      </c>
      <c r="S79" s="33">
        <v>63</v>
      </c>
      <c r="T79" s="66" t="s">
        <v>153</v>
      </c>
      <c r="U79" s="34">
        <v>208</v>
      </c>
      <c r="V79" s="34">
        <v>40</v>
      </c>
      <c r="W79" s="34">
        <v>40</v>
      </c>
      <c r="X79" s="66"/>
      <c r="Y79" s="66">
        <v>5</v>
      </c>
      <c r="Z79" s="34"/>
      <c r="AA79" s="34">
        <v>303.37</v>
      </c>
      <c r="AB79" s="34">
        <v>8274597.7966284947</v>
      </c>
      <c r="AC79" s="34">
        <f t="shared" si="13"/>
        <v>8936565.6203587744</v>
      </c>
      <c r="AD79" s="66"/>
      <c r="AE79" s="66" t="s">
        <v>154</v>
      </c>
      <c r="AF79" s="66"/>
    </row>
    <row r="80" spans="2:32">
      <c r="B80" s="66" t="str">
        <f t="shared" si="11"/>
        <v>PIL001</v>
      </c>
      <c r="C80" s="66" t="str">
        <f t="shared" si="9"/>
        <v>PIL001001</v>
      </c>
      <c r="D80" s="66" t="s">
        <v>184</v>
      </c>
      <c r="E80" s="66" t="s">
        <v>104</v>
      </c>
      <c r="F80" s="66" t="s">
        <v>151</v>
      </c>
      <c r="G80" s="66" t="s">
        <v>185</v>
      </c>
      <c r="H80" s="72" t="s">
        <v>342</v>
      </c>
      <c r="I80" s="66" t="s">
        <v>151</v>
      </c>
      <c r="J80" s="66" t="str">
        <f t="shared" si="12"/>
        <v>30 x 50 x 8/10 cm</v>
      </c>
      <c r="K80" s="66" t="str">
        <f t="shared" si="10"/>
        <v>Gối T&amp;N contour (Cứng) 30 x 50 x 8/10 cm</v>
      </c>
      <c r="L80" s="66" t="str">
        <f>_xlfn.XLOOKUP(M80,'0. Mã Supplier'!$B:$B,'0. Mã Supplier'!$C:$C,0)</f>
        <v>SUVN0002</v>
      </c>
      <c r="M80" s="66" t="s">
        <v>111</v>
      </c>
      <c r="N80" s="66"/>
      <c r="O80" s="66" t="s">
        <v>186</v>
      </c>
      <c r="P80" s="66">
        <v>30</v>
      </c>
      <c r="Q80" s="66">
        <v>50</v>
      </c>
      <c r="R80" s="33">
        <v>0</v>
      </c>
      <c r="S80" s="33">
        <v>0</v>
      </c>
      <c r="T80" s="66" t="s">
        <v>153</v>
      </c>
      <c r="U80" s="34">
        <v>40</v>
      </c>
      <c r="V80" s="34">
        <v>20</v>
      </c>
      <c r="W80" s="34">
        <v>20</v>
      </c>
      <c r="X80" s="66"/>
      <c r="Y80" s="66">
        <v>5</v>
      </c>
      <c r="Z80" s="66"/>
      <c r="AA80" s="34">
        <v>0</v>
      </c>
      <c r="AB80" s="34">
        <v>116100</v>
      </c>
      <c r="AC80" s="34">
        <f t="shared" si="13"/>
        <v>125388.00000000001</v>
      </c>
      <c r="AD80" s="66"/>
      <c r="AE80" s="66"/>
      <c r="AF80" s="66"/>
    </row>
    <row r="81" spans="2:32">
      <c r="B81" s="66" t="str">
        <f t="shared" si="11"/>
        <v>PIL001</v>
      </c>
      <c r="C81" s="66" t="str">
        <f t="shared" si="9"/>
        <v>PIL001002</v>
      </c>
      <c r="D81" s="66" t="s">
        <v>184</v>
      </c>
      <c r="E81" s="66" t="s">
        <v>104</v>
      </c>
      <c r="F81" s="66" t="s">
        <v>151</v>
      </c>
      <c r="G81" s="66" t="s">
        <v>185</v>
      </c>
      <c r="H81" s="72" t="s">
        <v>342</v>
      </c>
      <c r="I81" s="66" t="s">
        <v>155</v>
      </c>
      <c r="J81" s="66" t="str">
        <f t="shared" si="12"/>
        <v>40 x 60 x 10/12 cm</v>
      </c>
      <c r="K81" s="66" t="str">
        <f t="shared" si="10"/>
        <v>Gối T&amp;N contour (Cứng) 40 x 60 x 10/12 cm</v>
      </c>
      <c r="L81" s="66" t="str">
        <f>_xlfn.XLOOKUP(M81,'0. Mã Supplier'!$B:$B,'0. Mã Supplier'!$C:$C,0)</f>
        <v>SUVN0002</v>
      </c>
      <c r="M81" s="66" t="s">
        <v>111</v>
      </c>
      <c r="N81" s="66"/>
      <c r="O81" s="66" t="s">
        <v>187</v>
      </c>
      <c r="P81" s="66">
        <v>40</v>
      </c>
      <c r="Q81" s="66">
        <v>60</v>
      </c>
      <c r="R81" s="33">
        <v>0</v>
      </c>
      <c r="S81" s="33">
        <v>0</v>
      </c>
      <c r="T81" s="66" t="s">
        <v>153</v>
      </c>
      <c r="U81" s="34">
        <v>40</v>
      </c>
      <c r="V81" s="34">
        <v>20</v>
      </c>
      <c r="W81" s="34">
        <v>20</v>
      </c>
      <c r="X81" s="66"/>
      <c r="Y81" s="66">
        <v>5</v>
      </c>
      <c r="Z81" s="66"/>
      <c r="AA81" s="34">
        <v>0</v>
      </c>
      <c r="AB81" s="34">
        <v>143100</v>
      </c>
      <c r="AC81" s="34">
        <f t="shared" si="13"/>
        <v>154548</v>
      </c>
      <c r="AD81" s="67">
        <f>AB81/(1-0.55)</f>
        <v>318000.00000000006</v>
      </c>
      <c r="AE81" s="66"/>
      <c r="AF81" s="66"/>
    </row>
    <row r="82" spans="2:32">
      <c r="B82" s="66" t="str">
        <f t="shared" si="11"/>
        <v>PIL001</v>
      </c>
      <c r="C82" s="66" t="str">
        <f t="shared" si="9"/>
        <v>PIL001003</v>
      </c>
      <c r="D82" s="66" t="s">
        <v>184</v>
      </c>
      <c r="E82" s="66" t="s">
        <v>104</v>
      </c>
      <c r="F82" s="66" t="s">
        <v>151</v>
      </c>
      <c r="G82" s="66" t="s">
        <v>188</v>
      </c>
      <c r="H82" s="72" t="s">
        <v>342</v>
      </c>
      <c r="I82" s="66" t="s">
        <v>156</v>
      </c>
      <c r="J82" s="66" t="str">
        <f t="shared" si="12"/>
        <v>30 x 50 x 8/10 cm</v>
      </c>
      <c r="K82" s="66" t="str">
        <f t="shared" si="10"/>
        <v>Gối T&amp;N contour (Mềm) 30 x 50 x 8/10 cm</v>
      </c>
      <c r="L82" s="66" t="str">
        <f>_xlfn.XLOOKUP(M82,'0. Mã Supplier'!$B:$B,'0. Mã Supplier'!$C:$C,0)</f>
        <v>SUVN0002</v>
      </c>
      <c r="M82" s="66" t="s">
        <v>111</v>
      </c>
      <c r="N82" s="66"/>
      <c r="O82" s="66" t="s">
        <v>186</v>
      </c>
      <c r="P82" s="66">
        <v>30</v>
      </c>
      <c r="Q82" s="66">
        <v>50</v>
      </c>
      <c r="R82" s="33">
        <v>0</v>
      </c>
      <c r="S82" s="33">
        <v>0</v>
      </c>
      <c r="T82" s="66" t="s">
        <v>153</v>
      </c>
      <c r="U82" s="34">
        <v>40</v>
      </c>
      <c r="V82" s="34">
        <v>20</v>
      </c>
      <c r="W82" s="34">
        <v>20</v>
      </c>
      <c r="X82" s="66"/>
      <c r="Y82" s="66">
        <v>5</v>
      </c>
      <c r="Z82" s="66"/>
      <c r="AA82" s="34">
        <v>0</v>
      </c>
      <c r="AB82" s="34">
        <v>139000</v>
      </c>
      <c r="AC82" s="34">
        <f t="shared" si="13"/>
        <v>150120</v>
      </c>
      <c r="AD82" s="66"/>
      <c r="AE82" s="66"/>
      <c r="AF82" s="66"/>
    </row>
    <row r="83" spans="2:32">
      <c r="B83" s="66" t="str">
        <f t="shared" si="11"/>
        <v>PIL001</v>
      </c>
      <c r="C83" s="66" t="str">
        <f t="shared" si="9"/>
        <v>PIL001004</v>
      </c>
      <c r="D83" s="66" t="s">
        <v>184</v>
      </c>
      <c r="E83" s="66" t="s">
        <v>104</v>
      </c>
      <c r="F83" s="66" t="s">
        <v>151</v>
      </c>
      <c r="G83" s="66" t="s">
        <v>188</v>
      </c>
      <c r="H83" s="72" t="s">
        <v>342</v>
      </c>
      <c r="I83" s="66" t="s">
        <v>157</v>
      </c>
      <c r="J83" s="66" t="str">
        <f t="shared" si="12"/>
        <v>40 x 60 x 10/12 cm</v>
      </c>
      <c r="K83" s="66" t="str">
        <f t="shared" si="10"/>
        <v>Gối T&amp;N contour (Mềm) 40 x 60 x 10/12 cm</v>
      </c>
      <c r="L83" s="66" t="str">
        <f>_xlfn.XLOOKUP(M83,'0. Mã Supplier'!$B:$B,'0. Mã Supplier'!$C:$C,0)</f>
        <v>SUVN0002</v>
      </c>
      <c r="M83" s="66" t="s">
        <v>111</v>
      </c>
      <c r="N83" s="66"/>
      <c r="O83" s="66" t="s">
        <v>187</v>
      </c>
      <c r="P83" s="66">
        <v>40</v>
      </c>
      <c r="Q83" s="66">
        <v>60</v>
      </c>
      <c r="R83" s="33">
        <v>0</v>
      </c>
      <c r="S83" s="33">
        <v>0</v>
      </c>
      <c r="T83" s="66" t="s">
        <v>153</v>
      </c>
      <c r="U83" s="34">
        <v>40</v>
      </c>
      <c r="V83" s="34">
        <v>20</v>
      </c>
      <c r="W83" s="34">
        <v>20</v>
      </c>
      <c r="X83" s="66"/>
      <c r="Y83" s="66">
        <v>5</v>
      </c>
      <c r="Z83" s="66"/>
      <c r="AA83" s="34">
        <v>0</v>
      </c>
      <c r="AB83" s="34">
        <v>181000</v>
      </c>
      <c r="AC83" s="34">
        <f t="shared" si="13"/>
        <v>195480</v>
      </c>
      <c r="AD83" s="67">
        <f>AB83/(1-0.55)</f>
        <v>402222.22222222225</v>
      </c>
      <c r="AE83" s="66"/>
      <c r="AF83" s="66"/>
    </row>
    <row r="84" spans="2:32">
      <c r="B84" s="66" t="str">
        <f t="shared" si="11"/>
        <v>PIL002</v>
      </c>
      <c r="C84" s="66" t="str">
        <f t="shared" si="9"/>
        <v>PIL002001</v>
      </c>
      <c r="D84" s="66" t="s">
        <v>184</v>
      </c>
      <c r="E84" s="66" t="s">
        <v>104</v>
      </c>
      <c r="F84" s="66" t="s">
        <v>155</v>
      </c>
      <c r="G84" s="66" t="s">
        <v>189</v>
      </c>
      <c r="H84" s="72" t="s">
        <v>343</v>
      </c>
      <c r="I84" s="66" t="s">
        <v>151</v>
      </c>
      <c r="J84" s="66" t="str">
        <f t="shared" si="12"/>
        <v>40 x 60 x 10/12 cm</v>
      </c>
      <c r="K84" s="66" t="str">
        <f t="shared" si="10"/>
        <v>Gối Power X Ergo 40 x 60 x 10/12 cm</v>
      </c>
      <c r="L84" s="66" t="str">
        <f>_xlfn.XLOOKUP(M84,'0. Mã Supplier'!$B:$B,'0. Mã Supplier'!$C:$C,0)</f>
        <v>SUCN0001</v>
      </c>
      <c r="M84" s="66" t="s">
        <v>120</v>
      </c>
      <c r="N84" s="66"/>
      <c r="O84" s="66" t="s">
        <v>187</v>
      </c>
      <c r="P84" s="66">
        <v>40</v>
      </c>
      <c r="Q84" s="66">
        <v>60</v>
      </c>
      <c r="R84" s="33">
        <v>0.9</v>
      </c>
      <c r="S84" s="33">
        <v>1.35</v>
      </c>
      <c r="T84" s="66" t="s">
        <v>153</v>
      </c>
      <c r="U84" s="34">
        <v>40</v>
      </c>
      <c r="V84" s="34">
        <v>15</v>
      </c>
      <c r="W84" s="34">
        <v>15</v>
      </c>
      <c r="X84" s="66"/>
      <c r="Y84" s="66">
        <v>5</v>
      </c>
      <c r="Z84" s="66"/>
      <c r="AA84" s="34">
        <v>9.5</v>
      </c>
      <c r="AB84" s="34">
        <v>259994.44948666551</v>
      </c>
      <c r="AC84" s="34">
        <f t="shared" si="13"/>
        <v>280794.0054455988</v>
      </c>
      <c r="AD84" s="66"/>
      <c r="AE84" s="66"/>
      <c r="AF84" s="66"/>
    </row>
    <row r="85" spans="2:32">
      <c r="B85" s="66" t="str">
        <f t="shared" si="11"/>
        <v>PIL003</v>
      </c>
      <c r="C85" s="66" t="str">
        <f t="shared" si="9"/>
        <v>PIL003001</v>
      </c>
      <c r="D85" s="66" t="s">
        <v>184</v>
      </c>
      <c r="E85" s="66" t="s">
        <v>104</v>
      </c>
      <c r="F85" s="66" t="s">
        <v>156</v>
      </c>
      <c r="G85" s="66" t="s">
        <v>190</v>
      </c>
      <c r="H85" s="72" t="s">
        <v>344</v>
      </c>
      <c r="I85" s="66" t="s">
        <v>151</v>
      </c>
      <c r="J85" s="66" t="str">
        <f t="shared" si="12"/>
        <v>40 x 60 x 12 cm</v>
      </c>
      <c r="K85" s="66" t="str">
        <f t="shared" si="10"/>
        <v>Gối Power X Matrix 40 x 60 x 12 cm</v>
      </c>
      <c r="L85" s="66" t="str">
        <f>_xlfn.XLOOKUP(M85,'0. Mã Supplier'!$B:$B,'0. Mã Supplier'!$C:$C,0)</f>
        <v>SUCN0001</v>
      </c>
      <c r="M85" s="66" t="s">
        <v>120</v>
      </c>
      <c r="N85" s="66"/>
      <c r="O85" s="66">
        <v>12</v>
      </c>
      <c r="P85" s="66">
        <v>40</v>
      </c>
      <c r="Q85" s="66">
        <v>60</v>
      </c>
      <c r="R85" s="33">
        <v>1</v>
      </c>
      <c r="S85" s="33">
        <v>1.88</v>
      </c>
      <c r="T85" s="66" t="s">
        <v>330</v>
      </c>
      <c r="U85" s="34">
        <v>60</v>
      </c>
      <c r="V85" s="34">
        <v>40</v>
      </c>
      <c r="W85" s="34">
        <v>20</v>
      </c>
      <c r="X85" s="66"/>
      <c r="Y85" s="66">
        <v>5</v>
      </c>
      <c r="Z85" s="66"/>
      <c r="AA85" s="34">
        <v>16.8</v>
      </c>
      <c r="AB85" s="34">
        <v>473497.37682815897</v>
      </c>
      <c r="AC85" s="34">
        <f t="shared" si="13"/>
        <v>511377.1669744117</v>
      </c>
      <c r="AD85" s="66"/>
      <c r="AE85" s="66"/>
      <c r="AF85" s="66"/>
    </row>
    <row r="86" spans="2:32">
      <c r="B86" s="66" t="str">
        <f t="shared" ref="B86" si="14">D86&amp;F86</f>
        <v>PIL004</v>
      </c>
      <c r="C86" s="66" t="str">
        <f t="shared" si="9"/>
        <v>PIL004001</v>
      </c>
      <c r="D86" s="66" t="s">
        <v>184</v>
      </c>
      <c r="E86" s="66" t="s">
        <v>104</v>
      </c>
      <c r="F86" s="68" t="s">
        <v>157</v>
      </c>
      <c r="G86" s="66" t="s">
        <v>320</v>
      </c>
      <c r="H86" s="72">
        <v>0</v>
      </c>
      <c r="I86" s="66" t="s">
        <v>151</v>
      </c>
      <c r="J86" s="66" t="str">
        <f t="shared" ref="J86" si="15">P86&amp;" x "&amp;Q86&amp;" x "&amp;O86&amp;" cm"</f>
        <v>30 x 50 x 9/7 cm</v>
      </c>
      <c r="K86" s="66" t="str">
        <f t="shared" si="10"/>
        <v>Gối T&amp;N Bean (Thun lạnh) 30 x 50 x 9/7 cm</v>
      </c>
      <c r="L86" s="66" t="str">
        <f>_xlfn.XLOOKUP(M86,'0. Mã Supplier'!$B:$B,'0. Mã Supplier'!$C:$C,0)</f>
        <v>SUVN0003</v>
      </c>
      <c r="M86" s="66" t="s">
        <v>114</v>
      </c>
      <c r="N86" s="66"/>
      <c r="O86" s="69" t="s">
        <v>322</v>
      </c>
      <c r="P86" s="66">
        <v>30</v>
      </c>
      <c r="Q86" s="66">
        <v>50</v>
      </c>
      <c r="R86" s="33"/>
      <c r="S86" s="33"/>
      <c r="T86" s="66" t="s">
        <v>153</v>
      </c>
      <c r="U86" s="34"/>
      <c r="V86" s="34">
        <v>0</v>
      </c>
      <c r="W86" s="34"/>
      <c r="X86" s="66"/>
      <c r="Y86" s="66">
        <v>5</v>
      </c>
      <c r="Z86" s="66"/>
      <c r="AA86" s="34">
        <v>0</v>
      </c>
      <c r="AB86" s="34"/>
      <c r="AC86" s="34">
        <f t="shared" si="13"/>
        <v>0</v>
      </c>
      <c r="AD86" s="66"/>
      <c r="AE86" s="66"/>
      <c r="AF86" s="66"/>
    </row>
    <row r="87" spans="2:32">
      <c r="B87" s="66" t="str">
        <f t="shared" ref="B87" si="16">D87&amp;F87</f>
        <v>PIL004</v>
      </c>
      <c r="C87" s="66" t="str">
        <f t="shared" si="9"/>
        <v>PIL004002</v>
      </c>
      <c r="D87" s="66" t="s">
        <v>184</v>
      </c>
      <c r="E87" s="66" t="s">
        <v>104</v>
      </c>
      <c r="F87" s="68" t="s">
        <v>157</v>
      </c>
      <c r="G87" s="66" t="s">
        <v>320</v>
      </c>
      <c r="H87" s="72">
        <v>0</v>
      </c>
      <c r="I87" s="68" t="s">
        <v>155</v>
      </c>
      <c r="J87" s="66" t="str">
        <f t="shared" ref="J87" si="17">P87&amp;" x "&amp;Q87&amp;" x "&amp;O87&amp;" cm"</f>
        <v>40 x 60 x 12/10 cm</v>
      </c>
      <c r="K87" s="66" t="str">
        <f t="shared" si="10"/>
        <v>Gối T&amp;N Bean (Thun lạnh) 40 x 60 x 12/10 cm</v>
      </c>
      <c r="L87" s="66" t="str">
        <f>_xlfn.XLOOKUP(M87,'0. Mã Supplier'!$B:$B,'0. Mã Supplier'!$C:$C,0)</f>
        <v>SUVN0003</v>
      </c>
      <c r="M87" s="66" t="s">
        <v>114</v>
      </c>
      <c r="N87" s="66"/>
      <c r="O87" s="68" t="s">
        <v>323</v>
      </c>
      <c r="P87" s="66">
        <v>40</v>
      </c>
      <c r="Q87" s="66">
        <v>60</v>
      </c>
      <c r="R87" s="33"/>
      <c r="S87" s="33"/>
      <c r="T87" s="66" t="s">
        <v>153</v>
      </c>
      <c r="U87" s="34"/>
      <c r="V87" s="34">
        <v>0</v>
      </c>
      <c r="W87" s="34"/>
      <c r="X87" s="66"/>
      <c r="Y87" s="66">
        <v>5</v>
      </c>
      <c r="Z87" s="66"/>
      <c r="AA87" s="34">
        <v>0</v>
      </c>
      <c r="AB87" s="34"/>
      <c r="AC87" s="34">
        <f t="shared" si="13"/>
        <v>0</v>
      </c>
      <c r="AD87" s="66"/>
      <c r="AE87" s="66"/>
      <c r="AF87" s="66"/>
    </row>
    <row r="88" spans="2:32">
      <c r="B88" s="66" t="str">
        <f t="shared" ref="B88" si="18">D88&amp;F88</f>
        <v>PIL005</v>
      </c>
      <c r="C88" s="66" t="str">
        <f t="shared" si="9"/>
        <v>PIL005001</v>
      </c>
      <c r="D88" s="66" t="s">
        <v>184</v>
      </c>
      <c r="E88" s="66" t="s">
        <v>104</v>
      </c>
      <c r="F88" s="68" t="s">
        <v>158</v>
      </c>
      <c r="G88" s="66" t="s">
        <v>321</v>
      </c>
      <c r="H88" s="72">
        <v>0</v>
      </c>
      <c r="I88" s="66" t="s">
        <v>151</v>
      </c>
      <c r="J88" s="66" t="str">
        <f t="shared" ref="J88" si="19">P88&amp;" x "&amp;Q88&amp;" x "&amp;O88&amp;" cm"</f>
        <v>30 x 50 x 10 cm</v>
      </c>
      <c r="K88" s="66" t="str">
        <f t="shared" si="10"/>
        <v>Gối T&amp;N Oval (Thun lạnh) 30 x 50 x 10 cm</v>
      </c>
      <c r="L88" s="66" t="str">
        <f>_xlfn.XLOOKUP(M88,'0. Mã Supplier'!$B:$B,'0. Mã Supplier'!$C:$C,0)</f>
        <v>SUVN0003</v>
      </c>
      <c r="M88" s="66" t="s">
        <v>114</v>
      </c>
      <c r="N88" s="66"/>
      <c r="O88" s="66">
        <v>10</v>
      </c>
      <c r="P88" s="66">
        <v>30</v>
      </c>
      <c r="Q88" s="66">
        <v>50</v>
      </c>
      <c r="R88" s="33"/>
      <c r="S88" s="33"/>
      <c r="T88" s="66" t="s">
        <v>153</v>
      </c>
      <c r="U88" s="34"/>
      <c r="V88" s="34">
        <v>0</v>
      </c>
      <c r="W88" s="34"/>
      <c r="X88" s="66"/>
      <c r="Y88" s="66">
        <v>5</v>
      </c>
      <c r="Z88" s="66"/>
      <c r="AA88" s="34">
        <v>0</v>
      </c>
      <c r="AB88" s="34"/>
      <c r="AC88" s="34">
        <f t="shared" si="13"/>
        <v>0</v>
      </c>
      <c r="AD88" s="66"/>
      <c r="AE88" s="66"/>
      <c r="AF88" s="66"/>
    </row>
    <row r="89" spans="2:32">
      <c r="B89" s="66" t="str">
        <f t="shared" ref="B89" si="20">D89&amp;F89</f>
        <v>PIL005</v>
      </c>
      <c r="C89" s="66" t="str">
        <f t="shared" si="9"/>
        <v>PIL005002</v>
      </c>
      <c r="D89" s="66" t="s">
        <v>184</v>
      </c>
      <c r="E89" s="66" t="s">
        <v>104</v>
      </c>
      <c r="F89" s="68" t="s">
        <v>158</v>
      </c>
      <c r="G89" s="66" t="s">
        <v>321</v>
      </c>
      <c r="H89" s="72">
        <v>0</v>
      </c>
      <c r="I89" s="68" t="s">
        <v>155</v>
      </c>
      <c r="J89" s="66" t="str">
        <f t="shared" ref="J89" si="21">P89&amp;" x "&amp;Q89&amp;" x "&amp;O89&amp;" cm"</f>
        <v>40 x 60 x 11 cm</v>
      </c>
      <c r="K89" s="66" t="str">
        <f t="shared" si="10"/>
        <v>Gối T&amp;N Oval (Thun lạnh) 40 x 60 x 11 cm</v>
      </c>
      <c r="L89" s="66" t="str">
        <f>_xlfn.XLOOKUP(M89,'0. Mã Supplier'!$B:$B,'0. Mã Supplier'!$C:$C,0)</f>
        <v>SUVN0003</v>
      </c>
      <c r="M89" s="66" t="s">
        <v>114</v>
      </c>
      <c r="N89" s="66"/>
      <c r="O89" s="66">
        <v>11</v>
      </c>
      <c r="P89" s="66">
        <v>40</v>
      </c>
      <c r="Q89" s="66">
        <v>60</v>
      </c>
      <c r="R89" s="33"/>
      <c r="S89" s="33"/>
      <c r="T89" s="66" t="s">
        <v>153</v>
      </c>
      <c r="U89" s="34"/>
      <c r="V89" s="34">
        <v>0</v>
      </c>
      <c r="W89" s="34"/>
      <c r="X89" s="66"/>
      <c r="Y89" s="66">
        <v>5</v>
      </c>
      <c r="Z89" s="66"/>
      <c r="AA89" s="34">
        <v>0</v>
      </c>
      <c r="AB89" s="34"/>
      <c r="AC89" s="34">
        <f t="shared" si="13"/>
        <v>0</v>
      </c>
      <c r="AD89" s="66"/>
      <c r="AE89" s="66"/>
      <c r="AF89" s="66"/>
    </row>
    <row r="90" spans="2:32">
      <c r="B90" s="66" t="str">
        <f>D90&amp;F90</f>
        <v>PIL006</v>
      </c>
      <c r="C90" s="66" t="str">
        <f t="shared" si="9"/>
        <v>PIL006001</v>
      </c>
      <c r="D90" s="66" t="s">
        <v>184</v>
      </c>
      <c r="E90" s="66" t="s">
        <v>104</v>
      </c>
      <c r="F90" s="68" t="s">
        <v>159</v>
      </c>
      <c r="G90" s="66" t="s">
        <v>324</v>
      </c>
      <c r="H90" s="72">
        <v>0</v>
      </c>
      <c r="I90" s="66" t="s">
        <v>151</v>
      </c>
      <c r="J90" s="66" t="str">
        <f>P90&amp;" x "&amp;Q90&amp;" x "&amp;O90&amp;" cm"</f>
        <v>30 x 50 x 8/6 cm</v>
      </c>
      <c r="K90" s="66" t="str">
        <f t="shared" si="10"/>
        <v>Gối T&amp;N Contour (Thun lạnh) 30 x 50 x 8/6 cm</v>
      </c>
      <c r="L90" s="66" t="str">
        <f>_xlfn.XLOOKUP(M90,'0. Mã Supplier'!$B:$B,'0. Mã Supplier'!$C:$C,0)</f>
        <v>SUVN0003</v>
      </c>
      <c r="M90" s="66" t="s">
        <v>114</v>
      </c>
      <c r="N90" s="66"/>
      <c r="O90" s="69" t="s">
        <v>325</v>
      </c>
      <c r="P90" s="66">
        <v>30</v>
      </c>
      <c r="Q90" s="66">
        <v>50</v>
      </c>
      <c r="R90" s="33"/>
      <c r="S90" s="33"/>
      <c r="T90" s="66" t="s">
        <v>153</v>
      </c>
      <c r="U90" s="34"/>
      <c r="V90" s="34">
        <v>0</v>
      </c>
      <c r="W90" s="34"/>
      <c r="X90" s="66"/>
      <c r="Y90" s="66">
        <v>5</v>
      </c>
      <c r="Z90" s="66"/>
      <c r="AA90" s="34">
        <v>0</v>
      </c>
      <c r="AB90" s="34"/>
      <c r="AC90" s="34">
        <f t="shared" si="13"/>
        <v>0</v>
      </c>
      <c r="AD90" s="66"/>
      <c r="AE90" s="66"/>
      <c r="AF90" s="66"/>
    </row>
    <row r="91" spans="2:32">
      <c r="B91" s="66" t="str">
        <f>D91&amp;F91</f>
        <v>PIL006</v>
      </c>
      <c r="C91" s="66" t="str">
        <f t="shared" si="9"/>
        <v>PIL006002</v>
      </c>
      <c r="D91" s="66" t="s">
        <v>184</v>
      </c>
      <c r="E91" s="66" t="s">
        <v>104</v>
      </c>
      <c r="F91" s="68" t="s">
        <v>159</v>
      </c>
      <c r="G91" s="66" t="s">
        <v>324</v>
      </c>
      <c r="H91" s="72">
        <v>0</v>
      </c>
      <c r="I91" s="68" t="s">
        <v>155</v>
      </c>
      <c r="J91" s="66" t="str">
        <f>P91&amp;" x "&amp;Q91&amp;" x "&amp;O91&amp;" cm"</f>
        <v>40 x 60 x 11/9 cm</v>
      </c>
      <c r="K91" s="66" t="str">
        <f t="shared" si="10"/>
        <v>Gối T&amp;N Contour (Thun lạnh) 40 x 60 x 11/9 cm</v>
      </c>
      <c r="L91" s="66" t="str">
        <f>_xlfn.XLOOKUP(M91,'0. Mã Supplier'!$B:$B,'0. Mã Supplier'!$C:$C,0)</f>
        <v>SUVN0003</v>
      </c>
      <c r="M91" s="66" t="s">
        <v>114</v>
      </c>
      <c r="N91" s="66"/>
      <c r="O91" s="68" t="s">
        <v>326</v>
      </c>
      <c r="P91" s="66">
        <v>40</v>
      </c>
      <c r="Q91" s="66">
        <v>60</v>
      </c>
      <c r="R91" s="33"/>
      <c r="S91" s="33"/>
      <c r="T91" s="66" t="s">
        <v>153</v>
      </c>
      <c r="U91" s="34"/>
      <c r="V91" s="34">
        <v>0</v>
      </c>
      <c r="W91" s="34"/>
      <c r="X91" s="66"/>
      <c r="Y91" s="66">
        <v>5</v>
      </c>
      <c r="Z91" s="66"/>
      <c r="AA91" s="34">
        <v>0</v>
      </c>
      <c r="AB91" s="34"/>
      <c r="AC91" s="34">
        <f t="shared" si="13"/>
        <v>0</v>
      </c>
      <c r="AD91" s="66"/>
      <c r="AE91" s="66"/>
      <c r="AF91" s="66"/>
    </row>
    <row r="92" spans="2:32">
      <c r="B92" s="66" t="str">
        <f t="shared" si="11"/>
        <v>SET001</v>
      </c>
      <c r="C92" s="66" t="str">
        <f t="shared" si="9"/>
        <v>SET001001</v>
      </c>
      <c r="D92" s="66" t="s">
        <v>191</v>
      </c>
      <c r="E92" s="66" t="s">
        <v>192</v>
      </c>
      <c r="F92" s="66" t="s">
        <v>151</v>
      </c>
      <c r="G92" s="66" t="s">
        <v>193</v>
      </c>
      <c r="H92" s="72" t="s">
        <v>345</v>
      </c>
      <c r="I92" s="66" t="s">
        <v>151</v>
      </c>
      <c r="J92" s="66" t="s">
        <v>194</v>
      </c>
      <c r="K92" s="66" t="str">
        <f t="shared" si="10"/>
        <v>Bộ Chăn ga Xơ đũi 4CT (ga phủ, chăn chần) Trái tim</v>
      </c>
      <c r="L92" s="66" t="str">
        <f>_xlfn.XLOOKUP(M92,'0. Mã Supplier'!$B:$B,'0. Mã Supplier'!$C:$C,0)</f>
        <v>SUVN0001</v>
      </c>
      <c r="M92" s="66" t="s">
        <v>107</v>
      </c>
      <c r="N92" s="66"/>
      <c r="O92" s="66">
        <v>0</v>
      </c>
      <c r="P92" s="66">
        <v>0</v>
      </c>
      <c r="Q92" s="66">
        <v>0</v>
      </c>
      <c r="R92" s="33">
        <v>0</v>
      </c>
      <c r="S92" s="33">
        <v>0</v>
      </c>
      <c r="T92" s="66"/>
      <c r="U92" s="34"/>
      <c r="V92" s="34">
        <v>0</v>
      </c>
      <c r="W92" s="34"/>
      <c r="X92" s="66"/>
      <c r="Y92" s="66">
        <v>5</v>
      </c>
      <c r="Z92" s="66"/>
      <c r="AA92" s="34">
        <v>0</v>
      </c>
      <c r="AB92" s="34">
        <v>207900</v>
      </c>
      <c r="AC92" s="34">
        <f t="shared" si="13"/>
        <v>224532.00000000003</v>
      </c>
      <c r="AD92" s="66"/>
      <c r="AE92" s="66"/>
      <c r="AF92" s="66"/>
    </row>
    <row r="93" spans="2:32">
      <c r="B93" s="66" t="str">
        <f t="shared" si="11"/>
        <v>SET001</v>
      </c>
      <c r="C93" s="66" t="str">
        <f t="shared" si="9"/>
        <v>SET001002</v>
      </c>
      <c r="D93" s="66" t="s">
        <v>191</v>
      </c>
      <c r="E93" s="66" t="s">
        <v>192</v>
      </c>
      <c r="F93" s="66" t="s">
        <v>151</v>
      </c>
      <c r="G93" s="66" t="s">
        <v>193</v>
      </c>
      <c r="H93" s="72" t="s">
        <v>345</v>
      </c>
      <c r="I93" s="66" t="s">
        <v>155</v>
      </c>
      <c r="J93" s="66" t="s">
        <v>195</v>
      </c>
      <c r="K93" s="66" t="str">
        <f t="shared" si="10"/>
        <v>Bộ Chăn ga Xơ đũi 4CT (ga phủ, chăn chần) Gấu, lá cây</v>
      </c>
      <c r="L93" s="66" t="str">
        <f>_xlfn.XLOOKUP(M93,'0. Mã Supplier'!$B:$B,'0. Mã Supplier'!$C:$C,0)</f>
        <v>SUVN0001</v>
      </c>
      <c r="M93" s="66" t="s">
        <v>107</v>
      </c>
      <c r="N93" s="66"/>
      <c r="O93" s="66">
        <v>0</v>
      </c>
      <c r="P93" s="66">
        <v>0</v>
      </c>
      <c r="Q93" s="66">
        <v>0</v>
      </c>
      <c r="R93" s="33">
        <v>0</v>
      </c>
      <c r="S93" s="33">
        <v>0</v>
      </c>
      <c r="T93" s="66"/>
      <c r="U93" s="34"/>
      <c r="V93" s="34">
        <v>0</v>
      </c>
      <c r="W93" s="34"/>
      <c r="X93" s="66"/>
      <c r="Y93" s="66">
        <v>5</v>
      </c>
      <c r="Z93" s="66"/>
      <c r="AA93" s="34">
        <v>0</v>
      </c>
      <c r="AB93" s="34">
        <v>207900</v>
      </c>
      <c r="AC93" s="34">
        <f t="shared" si="13"/>
        <v>224532.00000000003</v>
      </c>
      <c r="AD93" s="67">
        <f>AB93/(1-0.55)</f>
        <v>462000.00000000006</v>
      </c>
      <c r="AE93" s="66"/>
      <c r="AF93" s="66"/>
    </row>
    <row r="94" spans="2:32">
      <c r="B94" s="66" t="str">
        <f t="shared" si="11"/>
        <v>SET001</v>
      </c>
      <c r="C94" s="66" t="str">
        <f t="shared" si="9"/>
        <v>SET001003</v>
      </c>
      <c r="D94" s="66" t="s">
        <v>191</v>
      </c>
      <c r="E94" s="66" t="s">
        <v>192</v>
      </c>
      <c r="F94" s="66" t="s">
        <v>151</v>
      </c>
      <c r="G94" s="66" t="s">
        <v>193</v>
      </c>
      <c r="H94" s="72" t="s">
        <v>345</v>
      </c>
      <c r="I94" s="66" t="s">
        <v>156</v>
      </c>
      <c r="J94" s="66" t="s">
        <v>196</v>
      </c>
      <c r="K94" s="66" t="str">
        <f t="shared" si="10"/>
        <v>Bộ Chăn ga Xơ đũi 4CT (ga phủ, chăn chần) Cừu nâu</v>
      </c>
      <c r="L94" s="66" t="str">
        <f>_xlfn.XLOOKUP(M94,'0. Mã Supplier'!$B:$B,'0. Mã Supplier'!$C:$C,0)</f>
        <v>SUVN0001</v>
      </c>
      <c r="M94" s="66" t="s">
        <v>107</v>
      </c>
      <c r="N94" s="66"/>
      <c r="O94" s="66">
        <v>0</v>
      </c>
      <c r="P94" s="66">
        <v>0</v>
      </c>
      <c r="Q94" s="66">
        <v>0</v>
      </c>
      <c r="R94" s="33">
        <v>0</v>
      </c>
      <c r="S94" s="33">
        <v>0</v>
      </c>
      <c r="T94" s="66"/>
      <c r="U94" s="34"/>
      <c r="V94" s="34">
        <v>0</v>
      </c>
      <c r="W94" s="34"/>
      <c r="X94" s="66"/>
      <c r="Y94" s="66">
        <v>5</v>
      </c>
      <c r="Z94" s="66"/>
      <c r="AA94" s="34">
        <v>0</v>
      </c>
      <c r="AB94" s="34">
        <v>207900</v>
      </c>
      <c r="AC94" s="34">
        <f t="shared" si="13"/>
        <v>224532.00000000003</v>
      </c>
      <c r="AD94" s="66"/>
      <c r="AE94" s="66"/>
      <c r="AF94" s="66"/>
    </row>
    <row r="95" spans="2:32">
      <c r="B95" s="66" t="str">
        <f t="shared" si="11"/>
        <v>SET002</v>
      </c>
      <c r="C95" s="66" t="str">
        <f t="shared" si="9"/>
        <v>SET002001</v>
      </c>
      <c r="D95" s="66" t="s">
        <v>191</v>
      </c>
      <c r="E95" s="66" t="s">
        <v>192</v>
      </c>
      <c r="F95" s="66" t="s">
        <v>155</v>
      </c>
      <c r="G95" s="66" t="s">
        <v>197</v>
      </c>
      <c r="H95" s="72" t="s">
        <v>346</v>
      </c>
      <c r="I95" s="66" t="s">
        <v>151</v>
      </c>
      <c r="J95" s="66" t="s">
        <v>198</v>
      </c>
      <c r="K95" s="66" t="str">
        <f t="shared" si="10"/>
        <v>Bộ Chăn ga phủ vỏ chăn 4CT Mẫu 1</v>
      </c>
      <c r="L95" s="66" t="str">
        <f>_xlfn.XLOOKUP(M95,'0. Mã Supplier'!$B:$B,'0. Mã Supplier'!$C:$C,0)</f>
        <v>SUVN0001</v>
      </c>
      <c r="M95" s="66" t="s">
        <v>107</v>
      </c>
      <c r="N95" s="66"/>
      <c r="O95" s="66">
        <v>0</v>
      </c>
      <c r="P95" s="66">
        <v>0</v>
      </c>
      <c r="Q95" s="66">
        <v>0</v>
      </c>
      <c r="R95" s="33">
        <v>0</v>
      </c>
      <c r="S95" s="33">
        <v>0</v>
      </c>
      <c r="T95" s="66"/>
      <c r="U95" s="34"/>
      <c r="V95" s="34">
        <v>0</v>
      </c>
      <c r="W95" s="34"/>
      <c r="X95" s="66"/>
      <c r="Y95" s="66">
        <v>5</v>
      </c>
      <c r="Z95" s="66"/>
      <c r="AA95" s="34">
        <v>0</v>
      </c>
      <c r="AB95" s="34">
        <v>199100</v>
      </c>
      <c r="AC95" s="34">
        <f t="shared" si="13"/>
        <v>215028</v>
      </c>
      <c r="AD95" s="66"/>
      <c r="AE95" s="66"/>
      <c r="AF95" s="66"/>
    </row>
    <row r="96" spans="2:32">
      <c r="B96" s="66" t="str">
        <f t="shared" si="11"/>
        <v>SET002</v>
      </c>
      <c r="C96" s="66" t="str">
        <f t="shared" si="9"/>
        <v>SET002002</v>
      </c>
      <c r="D96" s="66" t="s">
        <v>191</v>
      </c>
      <c r="E96" s="66" t="s">
        <v>192</v>
      </c>
      <c r="F96" s="66" t="s">
        <v>155</v>
      </c>
      <c r="G96" s="66" t="s">
        <v>197</v>
      </c>
      <c r="H96" s="72" t="s">
        <v>346</v>
      </c>
      <c r="I96" s="66" t="s">
        <v>155</v>
      </c>
      <c r="J96" s="66" t="s">
        <v>199</v>
      </c>
      <c r="K96" s="66" t="str">
        <f t="shared" si="10"/>
        <v>Bộ Chăn ga phủ vỏ chăn 4CT Mẫu 2</v>
      </c>
      <c r="L96" s="66" t="str">
        <f>_xlfn.XLOOKUP(M96,'0. Mã Supplier'!$B:$B,'0. Mã Supplier'!$C:$C,0)</f>
        <v>SUVN0001</v>
      </c>
      <c r="M96" s="66" t="s">
        <v>107</v>
      </c>
      <c r="N96" s="66"/>
      <c r="O96" s="66">
        <v>0</v>
      </c>
      <c r="P96" s="66">
        <v>0</v>
      </c>
      <c r="Q96" s="66">
        <v>0</v>
      </c>
      <c r="R96" s="33">
        <v>0</v>
      </c>
      <c r="S96" s="33">
        <v>0</v>
      </c>
      <c r="T96" s="66"/>
      <c r="U96" s="34"/>
      <c r="V96" s="34">
        <v>0</v>
      </c>
      <c r="W96" s="34"/>
      <c r="X96" s="66"/>
      <c r="Y96" s="66">
        <v>5</v>
      </c>
      <c r="Z96" s="66"/>
      <c r="AA96" s="34">
        <v>0</v>
      </c>
      <c r="AB96" s="34">
        <v>199100</v>
      </c>
      <c r="AC96" s="34">
        <f t="shared" si="13"/>
        <v>215028</v>
      </c>
      <c r="AD96" s="66"/>
      <c r="AE96" s="66"/>
      <c r="AF96" s="66"/>
    </row>
    <row r="97" spans="2:32">
      <c r="B97" s="66" t="str">
        <f t="shared" si="11"/>
        <v>SET002</v>
      </c>
      <c r="C97" s="66" t="str">
        <f t="shared" si="9"/>
        <v>SET002003</v>
      </c>
      <c r="D97" s="66" t="s">
        <v>191</v>
      </c>
      <c r="E97" s="66" t="s">
        <v>192</v>
      </c>
      <c r="F97" s="66" t="s">
        <v>155</v>
      </c>
      <c r="G97" s="66" t="s">
        <v>197</v>
      </c>
      <c r="H97" s="72" t="s">
        <v>346</v>
      </c>
      <c r="I97" s="66" t="s">
        <v>156</v>
      </c>
      <c r="J97" s="66" t="s">
        <v>200</v>
      </c>
      <c r="K97" s="66" t="str">
        <f t="shared" si="10"/>
        <v>Bộ Chăn ga phủ vỏ chăn 4CT Mẫu 3</v>
      </c>
      <c r="L97" s="66" t="str">
        <f>_xlfn.XLOOKUP(M97,'0. Mã Supplier'!$B:$B,'0. Mã Supplier'!$C:$C,0)</f>
        <v>SUVN0001</v>
      </c>
      <c r="M97" s="66" t="s">
        <v>107</v>
      </c>
      <c r="N97" s="66"/>
      <c r="O97" s="66">
        <v>0</v>
      </c>
      <c r="P97" s="66">
        <v>0</v>
      </c>
      <c r="Q97" s="66">
        <v>0</v>
      </c>
      <c r="R97" s="33">
        <v>0</v>
      </c>
      <c r="S97" s="33">
        <v>0</v>
      </c>
      <c r="T97" s="66"/>
      <c r="U97" s="34"/>
      <c r="V97" s="34">
        <v>0</v>
      </c>
      <c r="W97" s="34"/>
      <c r="X97" s="66"/>
      <c r="Y97" s="66">
        <v>5</v>
      </c>
      <c r="Z97" s="66"/>
      <c r="AA97" s="34">
        <v>0</v>
      </c>
      <c r="AB97" s="34">
        <v>199100</v>
      </c>
      <c r="AC97" s="34">
        <f t="shared" si="13"/>
        <v>215028</v>
      </c>
      <c r="AD97" s="67">
        <f>AB97/(1-0.55)</f>
        <v>442444.4444444445</v>
      </c>
      <c r="AE97" s="66"/>
      <c r="AF97" s="66"/>
    </row>
    <row r="98" spans="2:32">
      <c r="B98" s="66" t="str">
        <f t="shared" si="11"/>
        <v>SET002</v>
      </c>
      <c r="C98" s="66" t="str">
        <f t="shared" si="9"/>
        <v>SET002004</v>
      </c>
      <c r="D98" s="66" t="s">
        <v>191</v>
      </c>
      <c r="E98" s="66" t="s">
        <v>192</v>
      </c>
      <c r="F98" s="66" t="s">
        <v>155</v>
      </c>
      <c r="G98" s="66" t="s">
        <v>197</v>
      </c>
      <c r="H98" s="72" t="s">
        <v>346</v>
      </c>
      <c r="I98" s="66" t="s">
        <v>157</v>
      </c>
      <c r="J98" s="66" t="s">
        <v>201</v>
      </c>
      <c r="K98" s="66" t="str">
        <f t="shared" si="10"/>
        <v>Bộ Chăn ga phủ vỏ chăn 4CT Mẫu 4</v>
      </c>
      <c r="L98" s="66" t="str">
        <f>_xlfn.XLOOKUP(M98,'0. Mã Supplier'!$B:$B,'0. Mã Supplier'!$C:$C,0)</f>
        <v>SUVN0001</v>
      </c>
      <c r="M98" s="66" t="s">
        <v>107</v>
      </c>
      <c r="N98" s="66"/>
      <c r="O98" s="66">
        <v>0</v>
      </c>
      <c r="P98" s="66">
        <v>0</v>
      </c>
      <c r="Q98" s="66">
        <v>0</v>
      </c>
      <c r="R98" s="33">
        <v>0</v>
      </c>
      <c r="S98" s="33">
        <v>0</v>
      </c>
      <c r="T98" s="66"/>
      <c r="U98" s="34"/>
      <c r="V98" s="34">
        <v>0</v>
      </c>
      <c r="W98" s="34"/>
      <c r="X98" s="66"/>
      <c r="Y98" s="66">
        <v>5</v>
      </c>
      <c r="Z98" s="66"/>
      <c r="AA98" s="34">
        <v>0</v>
      </c>
      <c r="AB98" s="34">
        <v>199100</v>
      </c>
      <c r="AC98" s="34">
        <f t="shared" si="13"/>
        <v>215028</v>
      </c>
      <c r="AD98" s="66"/>
      <c r="AE98" s="66"/>
      <c r="AF98" s="66"/>
    </row>
    <row r="99" spans="2:32">
      <c r="B99" s="66" t="str">
        <f t="shared" si="11"/>
        <v>SET002</v>
      </c>
      <c r="C99" s="66" t="str">
        <f t="shared" si="9"/>
        <v>SET002005</v>
      </c>
      <c r="D99" s="66" t="s">
        <v>191</v>
      </c>
      <c r="E99" s="66" t="s">
        <v>192</v>
      </c>
      <c r="F99" s="66" t="s">
        <v>155</v>
      </c>
      <c r="G99" s="66" t="s">
        <v>197</v>
      </c>
      <c r="H99" s="72" t="s">
        <v>346</v>
      </c>
      <c r="I99" s="66" t="s">
        <v>158</v>
      </c>
      <c r="J99" s="66" t="s">
        <v>202</v>
      </c>
      <c r="K99" s="66" t="str">
        <f t="shared" si="10"/>
        <v>Bộ Chăn ga phủ vỏ chăn 4CT Mẫu 5</v>
      </c>
      <c r="L99" s="66" t="str">
        <f>_xlfn.XLOOKUP(M99,'0. Mã Supplier'!$B:$B,'0. Mã Supplier'!$C:$C,0)</f>
        <v>SUVN0001</v>
      </c>
      <c r="M99" s="66" t="s">
        <v>107</v>
      </c>
      <c r="N99" s="66"/>
      <c r="O99" s="66">
        <v>0</v>
      </c>
      <c r="P99" s="66">
        <v>0</v>
      </c>
      <c r="Q99" s="66">
        <v>0</v>
      </c>
      <c r="R99" s="33">
        <v>0</v>
      </c>
      <c r="S99" s="33">
        <v>0</v>
      </c>
      <c r="T99" s="66"/>
      <c r="U99" s="66"/>
      <c r="V99" s="33">
        <v>0</v>
      </c>
      <c r="W99" s="66"/>
      <c r="X99" s="66"/>
      <c r="Y99" s="66">
        <v>5</v>
      </c>
      <c r="Z99" s="66"/>
      <c r="AA99" s="34">
        <v>0</v>
      </c>
      <c r="AB99" s="34">
        <v>199100</v>
      </c>
      <c r="AC99" s="34">
        <f t="shared" si="13"/>
        <v>215028</v>
      </c>
      <c r="AD99" s="66"/>
      <c r="AE99" s="66"/>
      <c r="AF99" s="66"/>
    </row>
    <row r="100" spans="2:32">
      <c r="B100" s="66" t="str">
        <f t="shared" si="11"/>
        <v>SET002</v>
      </c>
      <c r="C100" s="66" t="str">
        <f t="shared" si="9"/>
        <v>SET002006</v>
      </c>
      <c r="D100" s="66" t="s">
        <v>191</v>
      </c>
      <c r="E100" s="66" t="s">
        <v>192</v>
      </c>
      <c r="F100" s="66" t="s">
        <v>155</v>
      </c>
      <c r="G100" s="66" t="s">
        <v>197</v>
      </c>
      <c r="H100" s="72" t="s">
        <v>346</v>
      </c>
      <c r="I100" s="66" t="s">
        <v>159</v>
      </c>
      <c r="J100" s="66" t="s">
        <v>203</v>
      </c>
      <c r="K100" s="66" t="str">
        <f t="shared" si="10"/>
        <v>Bộ Chăn ga phủ vỏ chăn 4CT Mẫu 6</v>
      </c>
      <c r="L100" s="66" t="str">
        <f>_xlfn.XLOOKUP(M100,'0. Mã Supplier'!$B:$B,'0. Mã Supplier'!$C:$C,0)</f>
        <v>SUVN0001</v>
      </c>
      <c r="M100" s="66" t="s">
        <v>107</v>
      </c>
      <c r="N100" s="66"/>
      <c r="O100" s="66">
        <v>0</v>
      </c>
      <c r="P100" s="66">
        <v>0</v>
      </c>
      <c r="Q100" s="66">
        <v>0</v>
      </c>
      <c r="R100" s="33">
        <v>0</v>
      </c>
      <c r="S100" s="33">
        <v>0</v>
      </c>
      <c r="T100" s="66"/>
      <c r="U100" s="66"/>
      <c r="V100" s="33">
        <v>0</v>
      </c>
      <c r="W100" s="66"/>
      <c r="X100" s="66"/>
      <c r="Y100" s="66">
        <v>5</v>
      </c>
      <c r="Z100" s="66"/>
      <c r="AA100" s="34">
        <v>0</v>
      </c>
      <c r="AB100" s="34">
        <v>199100</v>
      </c>
      <c r="AC100" s="34">
        <f t="shared" si="13"/>
        <v>215028</v>
      </c>
      <c r="AD100" s="66"/>
      <c r="AE100" s="66"/>
      <c r="AF100" s="66"/>
    </row>
    <row r="101" spans="2:32">
      <c r="B101" s="66" t="str">
        <f t="shared" si="11"/>
        <v>SET003</v>
      </c>
      <c r="C101" s="66" t="str">
        <f t="shared" si="9"/>
        <v>SET003001</v>
      </c>
      <c r="D101" s="66" t="s">
        <v>191</v>
      </c>
      <c r="E101" s="66" t="s">
        <v>192</v>
      </c>
      <c r="F101" s="66" t="s">
        <v>156</v>
      </c>
      <c r="G101" s="66" t="s">
        <v>204</v>
      </c>
      <c r="H101" s="72" t="s">
        <v>347</v>
      </c>
      <c r="I101" s="66" t="s">
        <v>151</v>
      </c>
      <c r="J101" s="66" t="s">
        <v>205</v>
      </c>
      <c r="K101" s="66" t="str">
        <f t="shared" si="10"/>
        <v>Bộ Chăn ga chun gấu xanh gấu hồng 3CT Gấu xanh 160 x 200 cm</v>
      </c>
      <c r="L101" s="66" t="str">
        <f>_xlfn.XLOOKUP(M101,'0. Mã Supplier'!$B:$B,'0. Mã Supplier'!$C:$C,0)</f>
        <v>SUVN0004</v>
      </c>
      <c r="M101" s="66" t="s">
        <v>116</v>
      </c>
      <c r="N101" s="66"/>
      <c r="O101" s="66">
        <v>0</v>
      </c>
      <c r="P101" s="66">
        <v>160</v>
      </c>
      <c r="Q101" s="66">
        <v>200</v>
      </c>
      <c r="R101" s="33">
        <v>0</v>
      </c>
      <c r="S101" s="33">
        <v>0</v>
      </c>
      <c r="T101" s="66"/>
      <c r="U101" s="66"/>
      <c r="V101" s="33">
        <v>0</v>
      </c>
      <c r="W101" s="66"/>
      <c r="X101" s="66"/>
      <c r="Y101" s="66">
        <v>5</v>
      </c>
      <c r="Z101" s="66"/>
      <c r="AA101" s="34">
        <v>0</v>
      </c>
      <c r="AB101" s="34">
        <v>155630</v>
      </c>
      <c r="AC101" s="34">
        <f t="shared" si="13"/>
        <v>168080.40000000002</v>
      </c>
      <c r="AD101" s="66"/>
      <c r="AE101" s="66"/>
      <c r="AF101" s="66"/>
    </row>
    <row r="102" spans="2:32">
      <c r="B102" s="66" t="str">
        <f t="shared" si="11"/>
        <v>SET003</v>
      </c>
      <c r="C102" s="66" t="str">
        <f t="shared" si="9"/>
        <v>SET003002</v>
      </c>
      <c r="D102" s="66" t="s">
        <v>191</v>
      </c>
      <c r="E102" s="66" t="s">
        <v>192</v>
      </c>
      <c r="F102" s="66" t="s">
        <v>156</v>
      </c>
      <c r="G102" s="66" t="s">
        <v>204</v>
      </c>
      <c r="H102" s="72" t="s">
        <v>347</v>
      </c>
      <c r="I102" s="66" t="s">
        <v>155</v>
      </c>
      <c r="J102" s="66" t="s">
        <v>206</v>
      </c>
      <c r="K102" s="66" t="str">
        <f t="shared" si="10"/>
        <v>Bộ Chăn ga chun gấu xanh gấu hồng 3CT Gấu hồng 160 x 200 cm</v>
      </c>
      <c r="L102" s="66" t="str">
        <f>_xlfn.XLOOKUP(M102,'0. Mã Supplier'!$B:$B,'0. Mã Supplier'!$C:$C,0)</f>
        <v>SUVN0004</v>
      </c>
      <c r="M102" s="66" t="s">
        <v>116</v>
      </c>
      <c r="N102" s="66"/>
      <c r="O102" s="66">
        <v>0</v>
      </c>
      <c r="P102" s="66">
        <v>160</v>
      </c>
      <c r="Q102" s="66">
        <v>200</v>
      </c>
      <c r="R102" s="33">
        <v>0</v>
      </c>
      <c r="S102" s="33">
        <v>0</v>
      </c>
      <c r="T102" s="66"/>
      <c r="U102" s="66"/>
      <c r="V102" s="33">
        <v>0</v>
      </c>
      <c r="W102" s="66"/>
      <c r="X102" s="66"/>
      <c r="Y102" s="66">
        <v>5</v>
      </c>
      <c r="Z102" s="66"/>
      <c r="AA102" s="34">
        <v>0</v>
      </c>
      <c r="AB102" s="34">
        <v>155630</v>
      </c>
      <c r="AC102" s="34">
        <f t="shared" si="13"/>
        <v>168080.40000000002</v>
      </c>
      <c r="AD102" s="67">
        <f>AB102/(1-0.55)</f>
        <v>345844.4444444445</v>
      </c>
      <c r="AE102" s="66"/>
      <c r="AF102" s="66"/>
    </row>
    <row r="103" spans="2:32">
      <c r="B103" s="66" t="str">
        <f t="shared" si="11"/>
        <v>SET003</v>
      </c>
      <c r="C103" s="66" t="str">
        <f t="shared" si="9"/>
        <v>SET003003</v>
      </c>
      <c r="D103" s="66" t="s">
        <v>191</v>
      </c>
      <c r="E103" s="66" t="s">
        <v>192</v>
      </c>
      <c r="F103" s="66" t="s">
        <v>156</v>
      </c>
      <c r="G103" s="66" t="s">
        <v>204</v>
      </c>
      <c r="H103" s="72" t="s">
        <v>347</v>
      </c>
      <c r="I103" s="66" t="s">
        <v>156</v>
      </c>
      <c r="J103" s="66" t="s">
        <v>207</v>
      </c>
      <c r="K103" s="66" t="str">
        <f t="shared" si="10"/>
        <v>Bộ Chăn ga chun gấu xanh gấu hồng 3CT Gấu xanh 180 x 200 cm</v>
      </c>
      <c r="L103" s="66" t="str">
        <f>_xlfn.XLOOKUP(M103,'0. Mã Supplier'!$B:$B,'0. Mã Supplier'!$C:$C,0)</f>
        <v>SUVN0004</v>
      </c>
      <c r="M103" s="66" t="s">
        <v>116</v>
      </c>
      <c r="N103" s="66"/>
      <c r="O103" s="66">
        <v>0</v>
      </c>
      <c r="P103" s="66">
        <v>180</v>
      </c>
      <c r="Q103" s="66">
        <v>200</v>
      </c>
      <c r="R103" s="33">
        <v>0</v>
      </c>
      <c r="S103" s="33">
        <v>0</v>
      </c>
      <c r="T103" s="66"/>
      <c r="U103" s="66"/>
      <c r="V103" s="33">
        <v>0</v>
      </c>
      <c r="W103" s="66"/>
      <c r="X103" s="66"/>
      <c r="Y103" s="66">
        <v>5</v>
      </c>
      <c r="Z103" s="66"/>
      <c r="AA103" s="34">
        <v>0</v>
      </c>
      <c r="AB103" s="34">
        <v>163300</v>
      </c>
      <c r="AC103" s="34">
        <f t="shared" si="13"/>
        <v>176364</v>
      </c>
      <c r="AD103" s="67"/>
      <c r="AE103" s="66"/>
      <c r="AF103" s="66"/>
    </row>
    <row r="104" spans="2:32">
      <c r="B104" s="66" t="str">
        <f t="shared" si="11"/>
        <v>SET003</v>
      </c>
      <c r="C104" s="66" t="str">
        <f t="shared" ref="C104:C135" si="22">_xlfn.CONCAT(D104,F104,I104)</f>
        <v>SET003004</v>
      </c>
      <c r="D104" s="66" t="s">
        <v>191</v>
      </c>
      <c r="E104" s="66" t="s">
        <v>192</v>
      </c>
      <c r="F104" s="66" t="s">
        <v>156</v>
      </c>
      <c r="G104" s="66" t="s">
        <v>204</v>
      </c>
      <c r="H104" s="72" t="s">
        <v>347</v>
      </c>
      <c r="I104" s="66" t="s">
        <v>157</v>
      </c>
      <c r="J104" s="66" t="s">
        <v>208</v>
      </c>
      <c r="K104" s="66" t="str">
        <f t="shared" ref="K104:K135" si="23">_xlfn.CONCAT(E104," ",G104," ",J104)</f>
        <v>Bộ Chăn ga chun gấu xanh gấu hồng 3CT Gấu hồng 180 x 200 cm</v>
      </c>
      <c r="L104" s="66" t="str">
        <f>_xlfn.XLOOKUP(M104,'0. Mã Supplier'!$B:$B,'0. Mã Supplier'!$C:$C,0)</f>
        <v>SUVN0004</v>
      </c>
      <c r="M104" s="66" t="s">
        <v>116</v>
      </c>
      <c r="N104" s="66"/>
      <c r="O104" s="66">
        <v>0</v>
      </c>
      <c r="P104" s="66">
        <v>180</v>
      </c>
      <c r="Q104" s="66">
        <v>200</v>
      </c>
      <c r="R104" s="33">
        <v>0</v>
      </c>
      <c r="S104" s="33">
        <v>0</v>
      </c>
      <c r="T104" s="66"/>
      <c r="U104" s="66"/>
      <c r="V104" s="33">
        <v>0</v>
      </c>
      <c r="W104" s="66"/>
      <c r="X104" s="66"/>
      <c r="Y104" s="66">
        <v>5</v>
      </c>
      <c r="Z104" s="66"/>
      <c r="AA104" s="34">
        <v>0</v>
      </c>
      <c r="AB104" s="34">
        <v>163300</v>
      </c>
      <c r="AC104" s="34">
        <f t="shared" si="13"/>
        <v>176364</v>
      </c>
      <c r="AD104" s="66"/>
      <c r="AE104" s="66"/>
      <c r="AF104" s="66"/>
    </row>
    <row r="105" spans="2:32">
      <c r="B105" s="66" t="str">
        <f t="shared" si="11"/>
        <v>ACC001</v>
      </c>
      <c r="C105" s="66" t="str">
        <f t="shared" si="22"/>
        <v>ACC001001</v>
      </c>
      <c r="D105" s="66" t="s">
        <v>209</v>
      </c>
      <c r="E105" s="66" t="s">
        <v>210</v>
      </c>
      <c r="F105" s="68" t="s">
        <v>151</v>
      </c>
      <c r="G105" s="66" t="s">
        <v>211</v>
      </c>
      <c r="H105" s="72" t="s">
        <v>348</v>
      </c>
      <c r="I105" s="66" t="s">
        <v>151</v>
      </c>
      <c r="J105" s="66" t="s">
        <v>212</v>
      </c>
      <c r="K105" s="66" t="str">
        <f t="shared" si="23"/>
        <v>Phụ Kiện Everlife Tấm bảo vệ nệm chống thấm Mẫu 1, 80 x 200 cm</v>
      </c>
      <c r="L105" s="66" t="str">
        <f>_xlfn.XLOOKUP(M105,'0. Mã Supplier'!$B:$B,'0. Mã Supplier'!$C:$C,0)</f>
        <v>SUVN0005</v>
      </c>
      <c r="M105" s="66" t="s">
        <v>118</v>
      </c>
      <c r="N105" s="66"/>
      <c r="O105" s="66">
        <v>0</v>
      </c>
      <c r="P105" s="66">
        <v>80</v>
      </c>
      <c r="Q105" s="66">
        <v>200</v>
      </c>
      <c r="R105" s="33">
        <v>1</v>
      </c>
      <c r="S105" s="33">
        <v>1.2</v>
      </c>
      <c r="T105" s="66"/>
      <c r="U105" s="66">
        <v>30</v>
      </c>
      <c r="V105" s="33">
        <v>30</v>
      </c>
      <c r="W105" s="66">
        <v>12</v>
      </c>
      <c r="X105" s="66"/>
      <c r="Y105" s="66">
        <v>5</v>
      </c>
      <c r="Z105" s="66"/>
      <c r="AA105" s="34">
        <v>0</v>
      </c>
      <c r="AB105" s="34">
        <v>0</v>
      </c>
      <c r="AC105" s="34">
        <f t="shared" si="13"/>
        <v>0</v>
      </c>
      <c r="AD105" s="66"/>
      <c r="AE105" s="66"/>
      <c r="AF105" s="66"/>
    </row>
    <row r="106" spans="2:32">
      <c r="B106" s="66" t="str">
        <f t="shared" si="11"/>
        <v>ACC001</v>
      </c>
      <c r="C106" s="66" t="str">
        <f t="shared" si="22"/>
        <v>ACC001002</v>
      </c>
      <c r="D106" s="66" t="s">
        <v>209</v>
      </c>
      <c r="E106" s="66" t="s">
        <v>210</v>
      </c>
      <c r="F106" s="66" t="s">
        <v>151</v>
      </c>
      <c r="G106" s="66" t="s">
        <v>211</v>
      </c>
      <c r="H106" s="72" t="s">
        <v>348</v>
      </c>
      <c r="I106" s="66" t="s">
        <v>155</v>
      </c>
      <c r="J106" s="66" t="s">
        <v>213</v>
      </c>
      <c r="K106" s="66" t="str">
        <f t="shared" si="23"/>
        <v>Phụ Kiện Everlife Tấm bảo vệ nệm chống thấm Mẫu 1, 100 x 200 cm</v>
      </c>
      <c r="L106" s="66" t="str">
        <f>_xlfn.XLOOKUP(M106,'0. Mã Supplier'!$B:$B,'0. Mã Supplier'!$C:$C,0)</f>
        <v>SUVN0005</v>
      </c>
      <c r="M106" s="66" t="s">
        <v>118</v>
      </c>
      <c r="N106" s="66"/>
      <c r="O106" s="66">
        <v>0</v>
      </c>
      <c r="P106" s="66">
        <v>100</v>
      </c>
      <c r="Q106" s="66">
        <v>200</v>
      </c>
      <c r="R106" s="33">
        <v>1</v>
      </c>
      <c r="S106" s="33">
        <v>1.2</v>
      </c>
      <c r="T106" s="66"/>
      <c r="U106" s="66">
        <v>30</v>
      </c>
      <c r="V106" s="33">
        <v>30</v>
      </c>
      <c r="W106" s="66">
        <v>12</v>
      </c>
      <c r="X106" s="66"/>
      <c r="Y106" s="66">
        <v>5</v>
      </c>
      <c r="Z106" s="66"/>
      <c r="AA106" s="34">
        <v>0</v>
      </c>
      <c r="AB106" s="34">
        <v>0</v>
      </c>
      <c r="AC106" s="34">
        <f t="shared" si="13"/>
        <v>0</v>
      </c>
      <c r="AD106" s="66"/>
      <c r="AE106" s="66"/>
      <c r="AF106" s="66"/>
    </row>
    <row r="107" spans="2:32">
      <c r="B107" s="66" t="str">
        <f t="shared" si="11"/>
        <v>ACC001</v>
      </c>
      <c r="C107" s="66" t="str">
        <f t="shared" si="22"/>
        <v>ACC001003</v>
      </c>
      <c r="D107" s="66" t="s">
        <v>209</v>
      </c>
      <c r="E107" s="66" t="s">
        <v>210</v>
      </c>
      <c r="F107" s="66" t="s">
        <v>151</v>
      </c>
      <c r="G107" s="66" t="s">
        <v>211</v>
      </c>
      <c r="H107" s="72" t="s">
        <v>348</v>
      </c>
      <c r="I107" s="66" t="s">
        <v>156</v>
      </c>
      <c r="J107" s="66" t="s">
        <v>214</v>
      </c>
      <c r="K107" s="66" t="str">
        <f t="shared" si="23"/>
        <v>Phụ Kiện Everlife Tấm bảo vệ nệm chống thấm Mẫu 1, 120 x 200 cm</v>
      </c>
      <c r="L107" s="66" t="str">
        <f>_xlfn.XLOOKUP(M107,'0. Mã Supplier'!$B:$B,'0. Mã Supplier'!$C:$C,0)</f>
        <v>SUVN0005</v>
      </c>
      <c r="M107" s="66" t="s">
        <v>118</v>
      </c>
      <c r="N107" s="66"/>
      <c r="O107" s="66">
        <v>0</v>
      </c>
      <c r="P107" s="66">
        <v>120</v>
      </c>
      <c r="Q107" s="66">
        <v>200</v>
      </c>
      <c r="R107" s="33">
        <v>1</v>
      </c>
      <c r="S107" s="33">
        <v>1.2</v>
      </c>
      <c r="T107" s="66"/>
      <c r="U107" s="66">
        <v>30</v>
      </c>
      <c r="V107" s="33">
        <v>30</v>
      </c>
      <c r="W107" s="66">
        <v>12</v>
      </c>
      <c r="X107" s="66"/>
      <c r="Y107" s="66">
        <v>5</v>
      </c>
      <c r="Z107" s="66"/>
      <c r="AA107" s="34">
        <v>0</v>
      </c>
      <c r="AB107" s="34">
        <v>451000.00000000006</v>
      </c>
      <c r="AC107" s="34">
        <f t="shared" si="13"/>
        <v>487080.00000000012</v>
      </c>
      <c r="AD107" s="66"/>
      <c r="AE107" s="66"/>
      <c r="AF107" s="66"/>
    </row>
    <row r="108" spans="2:32">
      <c r="B108" s="66" t="str">
        <f t="shared" si="11"/>
        <v>ACC001</v>
      </c>
      <c r="C108" s="66" t="str">
        <f t="shared" si="22"/>
        <v>ACC001004</v>
      </c>
      <c r="D108" s="66" t="s">
        <v>209</v>
      </c>
      <c r="E108" s="66" t="s">
        <v>210</v>
      </c>
      <c r="F108" s="66" t="s">
        <v>151</v>
      </c>
      <c r="G108" s="66" t="s">
        <v>211</v>
      </c>
      <c r="H108" s="72" t="s">
        <v>348</v>
      </c>
      <c r="I108" s="66" t="s">
        <v>157</v>
      </c>
      <c r="J108" s="66" t="s">
        <v>215</v>
      </c>
      <c r="K108" s="66" t="str">
        <f t="shared" si="23"/>
        <v>Phụ Kiện Everlife Tấm bảo vệ nệm chống thấm Mẫu 1, 140 x 200 cm</v>
      </c>
      <c r="L108" s="66" t="str">
        <f>_xlfn.XLOOKUP(M108,'0. Mã Supplier'!$B:$B,'0. Mã Supplier'!$C:$C,0)</f>
        <v>SUVN0005</v>
      </c>
      <c r="M108" s="66" t="s">
        <v>118</v>
      </c>
      <c r="N108" s="66"/>
      <c r="O108" s="66">
        <v>0</v>
      </c>
      <c r="P108" s="66">
        <v>140</v>
      </c>
      <c r="Q108" s="66">
        <v>200</v>
      </c>
      <c r="R108" s="33">
        <v>1</v>
      </c>
      <c r="S108" s="33">
        <v>1.2</v>
      </c>
      <c r="T108" s="66"/>
      <c r="U108" s="66">
        <v>30</v>
      </c>
      <c r="V108" s="33">
        <v>30</v>
      </c>
      <c r="W108" s="66">
        <v>12</v>
      </c>
      <c r="X108" s="66"/>
      <c r="Y108" s="66">
        <v>5</v>
      </c>
      <c r="Z108" s="66"/>
      <c r="AA108" s="34">
        <v>0</v>
      </c>
      <c r="AB108" s="34">
        <v>0</v>
      </c>
      <c r="AC108" s="34">
        <f t="shared" si="13"/>
        <v>0</v>
      </c>
      <c r="AD108" s="66"/>
      <c r="AE108" s="66"/>
      <c r="AF108" s="66"/>
    </row>
    <row r="109" spans="2:32">
      <c r="B109" s="66" t="str">
        <f t="shared" si="11"/>
        <v>ACC001</v>
      </c>
      <c r="C109" s="66" t="str">
        <f t="shared" si="22"/>
        <v>ACC001005</v>
      </c>
      <c r="D109" s="66" t="s">
        <v>209</v>
      </c>
      <c r="E109" s="66" t="s">
        <v>210</v>
      </c>
      <c r="F109" s="66" t="s">
        <v>151</v>
      </c>
      <c r="G109" s="66" t="s">
        <v>211</v>
      </c>
      <c r="H109" s="72" t="s">
        <v>348</v>
      </c>
      <c r="I109" s="66" t="s">
        <v>158</v>
      </c>
      <c r="J109" s="66" t="s">
        <v>216</v>
      </c>
      <c r="K109" s="66" t="str">
        <f t="shared" si="23"/>
        <v>Phụ Kiện Everlife Tấm bảo vệ nệm chống thấm Mẫu 1, 160 x 200 cm</v>
      </c>
      <c r="L109" s="66" t="str">
        <f>_xlfn.XLOOKUP(M109,'0. Mã Supplier'!$B:$B,'0. Mã Supplier'!$C:$C,0)</f>
        <v>SUVN0005</v>
      </c>
      <c r="M109" s="66" t="s">
        <v>118</v>
      </c>
      <c r="N109" s="66"/>
      <c r="O109" s="66">
        <v>0</v>
      </c>
      <c r="P109" s="66">
        <v>160</v>
      </c>
      <c r="Q109" s="66">
        <v>200</v>
      </c>
      <c r="R109" s="33">
        <v>1</v>
      </c>
      <c r="S109" s="33">
        <v>1.2</v>
      </c>
      <c r="T109" s="66"/>
      <c r="U109" s="66">
        <v>30</v>
      </c>
      <c r="V109" s="33">
        <v>30</v>
      </c>
      <c r="W109" s="66">
        <v>12</v>
      </c>
      <c r="X109" s="66"/>
      <c r="Y109" s="66">
        <v>5</v>
      </c>
      <c r="Z109" s="66"/>
      <c r="AA109" s="34">
        <v>0</v>
      </c>
      <c r="AB109" s="34">
        <v>522500.00000000006</v>
      </c>
      <c r="AC109" s="34">
        <f t="shared" si="13"/>
        <v>564300.00000000012</v>
      </c>
      <c r="AD109" s="67">
        <f>AB109/(1-0.55)</f>
        <v>1161111.1111111112</v>
      </c>
      <c r="AE109" s="66"/>
      <c r="AF109" s="66"/>
    </row>
    <row r="110" spans="2:32">
      <c r="B110" s="66" t="str">
        <f t="shared" si="11"/>
        <v>ACC001</v>
      </c>
      <c r="C110" s="66" t="str">
        <f t="shared" si="22"/>
        <v>ACC001006</v>
      </c>
      <c r="D110" s="66" t="s">
        <v>209</v>
      </c>
      <c r="E110" s="66" t="s">
        <v>210</v>
      </c>
      <c r="F110" s="66" t="s">
        <v>151</v>
      </c>
      <c r="G110" s="66" t="s">
        <v>211</v>
      </c>
      <c r="H110" s="72" t="s">
        <v>348</v>
      </c>
      <c r="I110" s="66" t="s">
        <v>159</v>
      </c>
      <c r="J110" s="66" t="s">
        <v>217</v>
      </c>
      <c r="K110" s="66" t="str">
        <f t="shared" si="23"/>
        <v>Phụ Kiện Everlife Tấm bảo vệ nệm chống thấm Mẫu 1, 180 x 200 cm</v>
      </c>
      <c r="L110" s="66" t="str">
        <f>_xlfn.XLOOKUP(M110,'0. Mã Supplier'!$B:$B,'0. Mã Supplier'!$C:$C,0)</f>
        <v>SUVN0005</v>
      </c>
      <c r="M110" s="66" t="s">
        <v>118</v>
      </c>
      <c r="N110" s="66"/>
      <c r="O110" s="66">
        <v>0</v>
      </c>
      <c r="P110" s="66">
        <v>180</v>
      </c>
      <c r="Q110" s="66">
        <v>200</v>
      </c>
      <c r="R110" s="33">
        <v>1</v>
      </c>
      <c r="S110" s="33">
        <v>1.2</v>
      </c>
      <c r="T110" s="66"/>
      <c r="U110" s="66">
        <v>30</v>
      </c>
      <c r="V110" s="33">
        <v>30</v>
      </c>
      <c r="W110" s="66">
        <v>12</v>
      </c>
      <c r="X110" s="66"/>
      <c r="Y110" s="66">
        <v>5</v>
      </c>
      <c r="Z110" s="66"/>
      <c r="AA110" s="34">
        <v>0</v>
      </c>
      <c r="AB110" s="34">
        <v>577500</v>
      </c>
      <c r="AC110" s="34">
        <f t="shared" si="13"/>
        <v>623700</v>
      </c>
      <c r="AD110" s="66"/>
      <c r="AE110" s="66"/>
      <c r="AF110" s="66"/>
    </row>
    <row r="111" spans="2:32">
      <c r="B111" s="66" t="str">
        <f t="shared" si="11"/>
        <v>ACC001</v>
      </c>
      <c r="C111" s="66" t="str">
        <f t="shared" si="22"/>
        <v>ACC001007</v>
      </c>
      <c r="D111" s="66" t="s">
        <v>209</v>
      </c>
      <c r="E111" s="66" t="s">
        <v>210</v>
      </c>
      <c r="F111" s="66" t="s">
        <v>151</v>
      </c>
      <c r="G111" s="66" t="s">
        <v>211</v>
      </c>
      <c r="H111" s="72" t="s">
        <v>348</v>
      </c>
      <c r="I111" s="66" t="s">
        <v>160</v>
      </c>
      <c r="J111" s="66" t="s">
        <v>218</v>
      </c>
      <c r="K111" s="66" t="str">
        <f t="shared" si="23"/>
        <v>Phụ Kiện Everlife Tấm bảo vệ nệm chống thấm Mẫu 1, 200 x 200 cm</v>
      </c>
      <c r="L111" s="66" t="str">
        <f>_xlfn.XLOOKUP(M111,'0. Mã Supplier'!$B:$B,'0. Mã Supplier'!$C:$C,0)</f>
        <v>SUVN0005</v>
      </c>
      <c r="M111" s="66" t="s">
        <v>118</v>
      </c>
      <c r="N111" s="66"/>
      <c r="O111" s="66">
        <v>0</v>
      </c>
      <c r="P111" s="66">
        <v>200</v>
      </c>
      <c r="Q111" s="66">
        <v>200</v>
      </c>
      <c r="R111" s="33">
        <v>1</v>
      </c>
      <c r="S111" s="33">
        <v>1.2</v>
      </c>
      <c r="T111" s="66"/>
      <c r="U111" s="66">
        <v>30</v>
      </c>
      <c r="V111" s="33">
        <v>30</v>
      </c>
      <c r="W111" s="66">
        <v>12</v>
      </c>
      <c r="X111" s="66"/>
      <c r="Y111" s="66">
        <v>5</v>
      </c>
      <c r="Z111" s="66"/>
      <c r="AA111" s="34">
        <v>0</v>
      </c>
      <c r="AB111" s="34">
        <v>0</v>
      </c>
      <c r="AC111" s="34">
        <f t="shared" si="13"/>
        <v>0</v>
      </c>
      <c r="AD111" s="66"/>
      <c r="AE111" s="66"/>
      <c r="AF111" s="66"/>
    </row>
    <row r="112" spans="2:32">
      <c r="B112" s="66" t="str">
        <f t="shared" si="11"/>
        <v>ACC001</v>
      </c>
      <c r="C112" s="66" t="str">
        <f t="shared" si="22"/>
        <v>ACC001008</v>
      </c>
      <c r="D112" s="66" t="s">
        <v>209</v>
      </c>
      <c r="E112" s="66" t="s">
        <v>210</v>
      </c>
      <c r="F112" s="66" t="s">
        <v>151</v>
      </c>
      <c r="G112" s="66" t="s">
        <v>211</v>
      </c>
      <c r="H112" s="72" t="s">
        <v>348</v>
      </c>
      <c r="I112" s="66" t="s">
        <v>161</v>
      </c>
      <c r="J112" s="66" t="s">
        <v>219</v>
      </c>
      <c r="K112" s="66" t="str">
        <f t="shared" si="23"/>
        <v>Phụ Kiện Everlife Tấm bảo vệ nệm chống thấm Mẫu 1, 200 x 220 cm</v>
      </c>
      <c r="L112" s="66" t="str">
        <f>_xlfn.XLOOKUP(M112,'0. Mã Supplier'!$B:$B,'0. Mã Supplier'!$C:$C,0)</f>
        <v>SUVN0005</v>
      </c>
      <c r="M112" s="66" t="s">
        <v>118</v>
      </c>
      <c r="N112" s="66"/>
      <c r="O112" s="66">
        <v>0</v>
      </c>
      <c r="P112" s="66">
        <v>200</v>
      </c>
      <c r="Q112" s="66">
        <v>220</v>
      </c>
      <c r="R112" s="33">
        <v>1</v>
      </c>
      <c r="S112" s="33">
        <v>1.2</v>
      </c>
      <c r="T112" s="66"/>
      <c r="U112" s="66">
        <v>30</v>
      </c>
      <c r="V112" s="33">
        <v>30</v>
      </c>
      <c r="W112" s="66">
        <v>12</v>
      </c>
      <c r="X112" s="66"/>
      <c r="Y112" s="66">
        <v>5</v>
      </c>
      <c r="Z112" s="66"/>
      <c r="AA112" s="34">
        <v>0</v>
      </c>
      <c r="AB112" s="34">
        <v>0</v>
      </c>
      <c r="AC112" s="34">
        <f t="shared" si="13"/>
        <v>0</v>
      </c>
      <c r="AD112" s="66"/>
      <c r="AE112" s="66"/>
      <c r="AF112" s="66"/>
    </row>
    <row r="113" spans="2:32">
      <c r="B113" s="66" t="str">
        <f t="shared" si="11"/>
        <v>ACC001</v>
      </c>
      <c r="C113" s="66" t="str">
        <f t="shared" si="22"/>
        <v>ACC001009</v>
      </c>
      <c r="D113" s="66" t="s">
        <v>209</v>
      </c>
      <c r="E113" s="66" t="s">
        <v>210</v>
      </c>
      <c r="F113" s="66" t="s">
        <v>151</v>
      </c>
      <c r="G113" s="66" t="s">
        <v>211</v>
      </c>
      <c r="H113" s="72" t="s">
        <v>348</v>
      </c>
      <c r="I113" s="66" t="s">
        <v>162</v>
      </c>
      <c r="J113" s="66" t="s">
        <v>220</v>
      </c>
      <c r="K113" s="66" t="str">
        <f t="shared" si="23"/>
        <v>Phụ Kiện Everlife Tấm bảo vệ nệm chống thấm Mẫu 2, 80 x 200 cm</v>
      </c>
      <c r="L113" s="66" t="str">
        <f>_xlfn.XLOOKUP(M113,'0. Mã Supplier'!$B:$B,'0. Mã Supplier'!$C:$C,0)</f>
        <v>SUVN0005</v>
      </c>
      <c r="M113" s="66" t="s">
        <v>118</v>
      </c>
      <c r="N113" s="66"/>
      <c r="O113" s="66">
        <v>0</v>
      </c>
      <c r="P113" s="66">
        <v>80</v>
      </c>
      <c r="Q113" s="66">
        <v>200</v>
      </c>
      <c r="R113" s="33">
        <v>1</v>
      </c>
      <c r="S113" s="33">
        <v>1.2</v>
      </c>
      <c r="T113" s="66"/>
      <c r="U113" s="66">
        <v>30</v>
      </c>
      <c r="V113" s="33">
        <v>30</v>
      </c>
      <c r="W113" s="66">
        <v>12</v>
      </c>
      <c r="X113" s="66"/>
      <c r="Y113" s="66">
        <v>5</v>
      </c>
      <c r="Z113" s="66"/>
      <c r="AA113" s="34">
        <v>0</v>
      </c>
      <c r="AB113" s="34">
        <v>0</v>
      </c>
      <c r="AC113" s="34">
        <f t="shared" si="13"/>
        <v>0</v>
      </c>
      <c r="AD113" s="66"/>
      <c r="AE113" s="66"/>
      <c r="AF113" s="66"/>
    </row>
    <row r="114" spans="2:32">
      <c r="B114" s="66" t="str">
        <f t="shared" si="11"/>
        <v>ACC001</v>
      </c>
      <c r="C114" s="66" t="str">
        <f t="shared" si="22"/>
        <v>ACC001010</v>
      </c>
      <c r="D114" s="66" t="s">
        <v>209</v>
      </c>
      <c r="E114" s="66" t="s">
        <v>210</v>
      </c>
      <c r="F114" s="66" t="s">
        <v>151</v>
      </c>
      <c r="G114" s="66" t="s">
        <v>211</v>
      </c>
      <c r="H114" s="72" t="s">
        <v>348</v>
      </c>
      <c r="I114" s="66" t="s">
        <v>163</v>
      </c>
      <c r="J114" s="66" t="s">
        <v>221</v>
      </c>
      <c r="K114" s="66" t="str">
        <f t="shared" si="23"/>
        <v>Phụ Kiện Everlife Tấm bảo vệ nệm chống thấm Mẫu 2, 100 x 200 cm</v>
      </c>
      <c r="L114" s="66" t="str">
        <f>_xlfn.XLOOKUP(M114,'0. Mã Supplier'!$B:$B,'0. Mã Supplier'!$C:$C,0)</f>
        <v>SUVN0005</v>
      </c>
      <c r="M114" s="66" t="s">
        <v>118</v>
      </c>
      <c r="N114" s="66"/>
      <c r="O114" s="66">
        <v>0</v>
      </c>
      <c r="P114" s="66">
        <v>100</v>
      </c>
      <c r="Q114" s="66">
        <v>200</v>
      </c>
      <c r="R114" s="33">
        <v>1</v>
      </c>
      <c r="S114" s="33">
        <v>1.2</v>
      </c>
      <c r="T114" s="66"/>
      <c r="U114" s="66">
        <v>30</v>
      </c>
      <c r="V114" s="33">
        <v>30</v>
      </c>
      <c r="W114" s="66">
        <v>12</v>
      </c>
      <c r="X114" s="66"/>
      <c r="Y114" s="66">
        <v>5</v>
      </c>
      <c r="Z114" s="66"/>
      <c r="AA114" s="34">
        <v>0</v>
      </c>
      <c r="AB114" s="34">
        <v>0</v>
      </c>
      <c r="AC114" s="34">
        <f t="shared" si="13"/>
        <v>0</v>
      </c>
      <c r="AD114" s="66"/>
      <c r="AE114" s="66"/>
      <c r="AF114" s="66"/>
    </row>
    <row r="115" spans="2:32">
      <c r="B115" s="66" t="str">
        <f t="shared" si="11"/>
        <v>ACC001</v>
      </c>
      <c r="C115" s="66" t="str">
        <f t="shared" si="22"/>
        <v>ACC001011</v>
      </c>
      <c r="D115" s="66" t="s">
        <v>209</v>
      </c>
      <c r="E115" s="66" t="s">
        <v>210</v>
      </c>
      <c r="F115" s="66" t="s">
        <v>151</v>
      </c>
      <c r="G115" s="66" t="s">
        <v>211</v>
      </c>
      <c r="H115" s="72" t="s">
        <v>348</v>
      </c>
      <c r="I115" s="66" t="s">
        <v>164</v>
      </c>
      <c r="J115" s="66" t="s">
        <v>222</v>
      </c>
      <c r="K115" s="66" t="str">
        <f t="shared" si="23"/>
        <v>Phụ Kiện Everlife Tấm bảo vệ nệm chống thấm Mẫu 2, 120 x 200 cm</v>
      </c>
      <c r="L115" s="66" t="str">
        <f>_xlfn.XLOOKUP(M115,'0. Mã Supplier'!$B:$B,'0. Mã Supplier'!$C:$C,0)</f>
        <v>SUVN0005</v>
      </c>
      <c r="M115" s="66" t="s">
        <v>118</v>
      </c>
      <c r="N115" s="66"/>
      <c r="O115" s="66">
        <v>0</v>
      </c>
      <c r="P115" s="66">
        <v>120</v>
      </c>
      <c r="Q115" s="66">
        <v>200</v>
      </c>
      <c r="R115" s="33">
        <v>1</v>
      </c>
      <c r="S115" s="33">
        <v>1.2</v>
      </c>
      <c r="T115" s="66"/>
      <c r="U115" s="66">
        <v>30</v>
      </c>
      <c r="V115" s="33">
        <v>30</v>
      </c>
      <c r="W115" s="66">
        <v>12</v>
      </c>
      <c r="X115" s="66"/>
      <c r="Y115" s="66">
        <v>5</v>
      </c>
      <c r="Z115" s="66"/>
      <c r="AA115" s="34">
        <v>0</v>
      </c>
      <c r="AB115" s="34">
        <v>396000.00000000006</v>
      </c>
      <c r="AC115" s="34">
        <f t="shared" si="13"/>
        <v>427680.00000000012</v>
      </c>
      <c r="AD115" s="66"/>
      <c r="AE115" s="66"/>
      <c r="AF115" s="66"/>
    </row>
    <row r="116" spans="2:32">
      <c r="B116" s="66" t="str">
        <f t="shared" si="11"/>
        <v>ACC001</v>
      </c>
      <c r="C116" s="66" t="str">
        <f t="shared" si="22"/>
        <v>ACC001012</v>
      </c>
      <c r="D116" s="66" t="s">
        <v>209</v>
      </c>
      <c r="E116" s="66" t="s">
        <v>210</v>
      </c>
      <c r="F116" s="66" t="s">
        <v>151</v>
      </c>
      <c r="G116" s="66" t="s">
        <v>211</v>
      </c>
      <c r="H116" s="72" t="s">
        <v>348</v>
      </c>
      <c r="I116" s="66" t="s">
        <v>165</v>
      </c>
      <c r="J116" s="66" t="s">
        <v>223</v>
      </c>
      <c r="K116" s="66" t="str">
        <f t="shared" si="23"/>
        <v>Phụ Kiện Everlife Tấm bảo vệ nệm chống thấm Mẫu 2, 140 x 200 cm</v>
      </c>
      <c r="L116" s="66" t="str">
        <f>_xlfn.XLOOKUP(M116,'0. Mã Supplier'!$B:$B,'0. Mã Supplier'!$C:$C,0)</f>
        <v>SUVN0005</v>
      </c>
      <c r="M116" s="66" t="s">
        <v>118</v>
      </c>
      <c r="N116" s="66"/>
      <c r="O116" s="66">
        <v>0</v>
      </c>
      <c r="P116" s="66">
        <v>140</v>
      </c>
      <c r="Q116" s="66">
        <v>200</v>
      </c>
      <c r="R116" s="33">
        <v>1</v>
      </c>
      <c r="S116" s="33">
        <v>1.2</v>
      </c>
      <c r="T116" s="66"/>
      <c r="U116" s="66">
        <v>30</v>
      </c>
      <c r="V116" s="33">
        <v>30</v>
      </c>
      <c r="W116" s="66">
        <v>12</v>
      </c>
      <c r="X116" s="66"/>
      <c r="Y116" s="66">
        <v>5</v>
      </c>
      <c r="Z116" s="66"/>
      <c r="AA116" s="34">
        <v>0</v>
      </c>
      <c r="AB116" s="34">
        <v>0</v>
      </c>
      <c r="AC116" s="34">
        <f t="shared" si="13"/>
        <v>0</v>
      </c>
      <c r="AD116" s="66"/>
      <c r="AE116" s="66"/>
      <c r="AF116" s="66"/>
    </row>
    <row r="117" spans="2:32">
      <c r="B117" s="66" t="str">
        <f t="shared" si="11"/>
        <v>ACC001</v>
      </c>
      <c r="C117" s="66" t="str">
        <f t="shared" si="22"/>
        <v>ACC001013</v>
      </c>
      <c r="D117" s="66" t="s">
        <v>209</v>
      </c>
      <c r="E117" s="66" t="s">
        <v>210</v>
      </c>
      <c r="F117" s="66" t="s">
        <v>151</v>
      </c>
      <c r="G117" s="66" t="s">
        <v>211</v>
      </c>
      <c r="H117" s="72" t="s">
        <v>348</v>
      </c>
      <c r="I117" s="66" t="s">
        <v>166</v>
      </c>
      <c r="J117" s="66" t="s">
        <v>224</v>
      </c>
      <c r="K117" s="66" t="str">
        <f t="shared" si="23"/>
        <v>Phụ Kiện Everlife Tấm bảo vệ nệm chống thấm Mẫu 2, 160 x 200 cm</v>
      </c>
      <c r="L117" s="66" t="str">
        <f>_xlfn.XLOOKUP(M117,'0. Mã Supplier'!$B:$B,'0. Mã Supplier'!$C:$C,0)</f>
        <v>SUVN0005</v>
      </c>
      <c r="M117" s="66" t="s">
        <v>118</v>
      </c>
      <c r="N117" s="66"/>
      <c r="O117" s="66">
        <v>0</v>
      </c>
      <c r="P117" s="66">
        <v>160</v>
      </c>
      <c r="Q117" s="66">
        <v>200</v>
      </c>
      <c r="R117" s="33">
        <v>1</v>
      </c>
      <c r="S117" s="33">
        <v>1.2</v>
      </c>
      <c r="T117" s="66"/>
      <c r="U117" s="66">
        <v>30</v>
      </c>
      <c r="V117" s="33">
        <v>30</v>
      </c>
      <c r="W117" s="66">
        <v>12</v>
      </c>
      <c r="X117" s="66"/>
      <c r="Y117" s="66">
        <v>5</v>
      </c>
      <c r="Z117" s="66"/>
      <c r="AA117" s="34">
        <v>0</v>
      </c>
      <c r="AB117" s="34">
        <v>467500.00000000006</v>
      </c>
      <c r="AC117" s="34">
        <f t="shared" si="13"/>
        <v>504900.00000000012</v>
      </c>
      <c r="AD117" s="67">
        <f>AB117/(1-0.55)</f>
        <v>1038888.8888888891</v>
      </c>
      <c r="AE117" s="66"/>
      <c r="AF117" s="66"/>
    </row>
    <row r="118" spans="2:32">
      <c r="B118" s="66" t="str">
        <f t="shared" si="11"/>
        <v>ACC001</v>
      </c>
      <c r="C118" s="66" t="str">
        <f t="shared" si="22"/>
        <v>ACC001014</v>
      </c>
      <c r="D118" s="66" t="s">
        <v>209</v>
      </c>
      <c r="E118" s="66" t="s">
        <v>210</v>
      </c>
      <c r="F118" s="66" t="s">
        <v>151</v>
      </c>
      <c r="G118" s="66" t="s">
        <v>211</v>
      </c>
      <c r="H118" s="72" t="s">
        <v>348</v>
      </c>
      <c r="I118" s="66" t="s">
        <v>167</v>
      </c>
      <c r="J118" s="66" t="s">
        <v>225</v>
      </c>
      <c r="K118" s="66" t="str">
        <f t="shared" si="23"/>
        <v>Phụ Kiện Everlife Tấm bảo vệ nệm chống thấm Mẫu 2, 180 x 200 cm</v>
      </c>
      <c r="L118" s="66" t="str">
        <f>_xlfn.XLOOKUP(M118,'0. Mã Supplier'!$B:$B,'0. Mã Supplier'!$C:$C,0)</f>
        <v>SUVN0005</v>
      </c>
      <c r="M118" s="66" t="s">
        <v>118</v>
      </c>
      <c r="N118" s="66"/>
      <c r="O118" s="66">
        <v>0</v>
      </c>
      <c r="P118" s="66">
        <v>180</v>
      </c>
      <c r="Q118" s="66">
        <v>200</v>
      </c>
      <c r="R118" s="33">
        <v>1</v>
      </c>
      <c r="S118" s="33">
        <v>1.2</v>
      </c>
      <c r="T118" s="66"/>
      <c r="U118" s="66">
        <v>30</v>
      </c>
      <c r="V118" s="33">
        <v>30</v>
      </c>
      <c r="W118" s="66">
        <v>12</v>
      </c>
      <c r="X118" s="66"/>
      <c r="Y118" s="66">
        <v>5</v>
      </c>
      <c r="Z118" s="66"/>
      <c r="AA118" s="34">
        <v>0</v>
      </c>
      <c r="AB118" s="34">
        <v>522500.00000000006</v>
      </c>
      <c r="AC118" s="34">
        <f t="shared" si="13"/>
        <v>564300.00000000012</v>
      </c>
      <c r="AD118" s="66"/>
      <c r="AE118" s="66"/>
      <c r="AF118" s="66"/>
    </row>
    <row r="119" spans="2:32">
      <c r="B119" s="66" t="str">
        <f t="shared" si="11"/>
        <v>ACC001</v>
      </c>
      <c r="C119" s="66" t="str">
        <f t="shared" si="22"/>
        <v>ACC001015</v>
      </c>
      <c r="D119" s="66" t="s">
        <v>209</v>
      </c>
      <c r="E119" s="66" t="s">
        <v>210</v>
      </c>
      <c r="F119" s="66" t="s">
        <v>151</v>
      </c>
      <c r="G119" s="66" t="s">
        <v>211</v>
      </c>
      <c r="H119" s="72" t="s">
        <v>348</v>
      </c>
      <c r="I119" s="66" t="s">
        <v>168</v>
      </c>
      <c r="J119" s="66" t="s">
        <v>226</v>
      </c>
      <c r="K119" s="66" t="str">
        <f t="shared" si="23"/>
        <v>Phụ Kiện Everlife Tấm bảo vệ nệm chống thấm Mẫu 2, 200 x 200 cm</v>
      </c>
      <c r="L119" s="66" t="str">
        <f>_xlfn.XLOOKUP(M119,'0. Mã Supplier'!$B:$B,'0. Mã Supplier'!$C:$C,0)</f>
        <v>SUVN0005</v>
      </c>
      <c r="M119" s="66" t="s">
        <v>118</v>
      </c>
      <c r="N119" s="66"/>
      <c r="O119" s="66">
        <v>0</v>
      </c>
      <c r="P119" s="66">
        <v>200</v>
      </c>
      <c r="Q119" s="66">
        <v>200</v>
      </c>
      <c r="R119" s="33">
        <v>1</v>
      </c>
      <c r="S119" s="33">
        <v>1.2</v>
      </c>
      <c r="T119" s="66"/>
      <c r="U119" s="66">
        <v>30</v>
      </c>
      <c r="V119" s="33">
        <v>30</v>
      </c>
      <c r="W119" s="66">
        <v>12</v>
      </c>
      <c r="X119" s="66"/>
      <c r="Y119" s="66">
        <v>5</v>
      </c>
      <c r="Z119" s="66"/>
      <c r="AA119" s="34">
        <v>0</v>
      </c>
      <c r="AB119" s="34">
        <v>0</v>
      </c>
      <c r="AC119" s="34">
        <f t="shared" si="13"/>
        <v>0</v>
      </c>
      <c r="AD119" s="66"/>
      <c r="AE119" s="66"/>
      <c r="AF119" s="66"/>
    </row>
    <row r="120" spans="2:32">
      <c r="B120" s="66" t="str">
        <f t="shared" si="11"/>
        <v>ACC001</v>
      </c>
      <c r="C120" s="66" t="str">
        <f t="shared" si="22"/>
        <v>ACC001016</v>
      </c>
      <c r="D120" s="66" t="s">
        <v>209</v>
      </c>
      <c r="E120" s="66" t="s">
        <v>210</v>
      </c>
      <c r="F120" s="66" t="s">
        <v>151</v>
      </c>
      <c r="G120" s="66" t="s">
        <v>211</v>
      </c>
      <c r="H120" s="72" t="s">
        <v>348</v>
      </c>
      <c r="I120" s="66" t="s">
        <v>169</v>
      </c>
      <c r="J120" s="66" t="s">
        <v>227</v>
      </c>
      <c r="K120" s="66" t="str">
        <f t="shared" si="23"/>
        <v>Phụ Kiện Everlife Tấm bảo vệ nệm chống thấm Mẫu 2, 200 x 220 cm</v>
      </c>
      <c r="L120" s="66" t="str">
        <f>_xlfn.XLOOKUP(M120,'0. Mã Supplier'!$B:$B,'0. Mã Supplier'!$C:$C,0)</f>
        <v>SUVN0005</v>
      </c>
      <c r="M120" s="66" t="s">
        <v>118</v>
      </c>
      <c r="N120" s="66"/>
      <c r="O120" s="66">
        <v>0</v>
      </c>
      <c r="P120" s="66">
        <v>200</v>
      </c>
      <c r="Q120" s="66">
        <v>220</v>
      </c>
      <c r="R120" s="33">
        <v>1</v>
      </c>
      <c r="S120" s="33">
        <v>1.2</v>
      </c>
      <c r="T120" s="66"/>
      <c r="U120" s="66">
        <v>30</v>
      </c>
      <c r="V120" s="33">
        <v>30</v>
      </c>
      <c r="W120" s="66">
        <v>12</v>
      </c>
      <c r="X120" s="66"/>
      <c r="Y120" s="66">
        <v>5</v>
      </c>
      <c r="Z120" s="66"/>
      <c r="AA120" s="34">
        <v>0</v>
      </c>
      <c r="AB120" s="34">
        <v>0</v>
      </c>
      <c r="AC120" s="34">
        <f t="shared" si="13"/>
        <v>0</v>
      </c>
      <c r="AD120" s="66"/>
      <c r="AE120" s="66"/>
      <c r="AF120" s="66"/>
    </row>
    <row r="121" spans="2:32">
      <c r="B121" s="66" t="str">
        <f t="shared" si="11"/>
        <v>ACC001</v>
      </c>
      <c r="C121" s="66" t="str">
        <f t="shared" si="22"/>
        <v>ACC001017</v>
      </c>
      <c r="D121" s="66" t="s">
        <v>209</v>
      </c>
      <c r="E121" s="66" t="s">
        <v>210</v>
      </c>
      <c r="F121" s="66" t="s">
        <v>151</v>
      </c>
      <c r="G121" s="66" t="s">
        <v>211</v>
      </c>
      <c r="H121" s="72" t="s">
        <v>348</v>
      </c>
      <c r="I121" s="66" t="s">
        <v>170</v>
      </c>
      <c r="J121" s="66" t="s">
        <v>228</v>
      </c>
      <c r="K121" s="66" t="str">
        <f t="shared" si="23"/>
        <v>Phụ Kiện Everlife Tấm bảo vệ nệm chống thấm Mẫu 3, 80 x 200 cm</v>
      </c>
      <c r="L121" s="66" t="str">
        <f>_xlfn.XLOOKUP(M121,'0. Mã Supplier'!$B:$B,'0. Mã Supplier'!$C:$C,0)</f>
        <v>SUVN0005</v>
      </c>
      <c r="M121" s="66" t="s">
        <v>118</v>
      </c>
      <c r="N121" s="66"/>
      <c r="O121" s="66">
        <v>0</v>
      </c>
      <c r="P121" s="66">
        <v>80</v>
      </c>
      <c r="Q121" s="66">
        <v>200</v>
      </c>
      <c r="R121" s="33">
        <v>1</v>
      </c>
      <c r="S121" s="33">
        <v>1.2</v>
      </c>
      <c r="T121" s="66"/>
      <c r="U121" s="66">
        <v>30</v>
      </c>
      <c r="V121" s="33">
        <v>30</v>
      </c>
      <c r="W121" s="66">
        <v>12</v>
      </c>
      <c r="X121" s="66"/>
      <c r="Y121" s="66">
        <v>5</v>
      </c>
      <c r="Z121" s="66"/>
      <c r="AA121" s="34">
        <v>0</v>
      </c>
      <c r="AB121" s="34">
        <v>0</v>
      </c>
      <c r="AC121" s="34">
        <f t="shared" si="13"/>
        <v>0</v>
      </c>
      <c r="AD121" s="66"/>
      <c r="AE121" s="66"/>
      <c r="AF121" s="66"/>
    </row>
    <row r="122" spans="2:32">
      <c r="B122" s="66" t="str">
        <f t="shared" si="11"/>
        <v>ACC001</v>
      </c>
      <c r="C122" s="66" t="str">
        <f t="shared" si="22"/>
        <v>ACC001018</v>
      </c>
      <c r="D122" s="66" t="s">
        <v>209</v>
      </c>
      <c r="E122" s="66" t="s">
        <v>210</v>
      </c>
      <c r="F122" s="66" t="s">
        <v>151</v>
      </c>
      <c r="G122" s="66" t="s">
        <v>211</v>
      </c>
      <c r="H122" s="72" t="s">
        <v>348</v>
      </c>
      <c r="I122" s="66" t="s">
        <v>171</v>
      </c>
      <c r="J122" s="66" t="s">
        <v>229</v>
      </c>
      <c r="K122" s="66" t="str">
        <f t="shared" si="23"/>
        <v>Phụ Kiện Everlife Tấm bảo vệ nệm chống thấm Mẫu 3, 100 x 200 cm</v>
      </c>
      <c r="L122" s="66" t="str">
        <f>_xlfn.XLOOKUP(M122,'0. Mã Supplier'!$B:$B,'0. Mã Supplier'!$C:$C,0)</f>
        <v>SUVN0005</v>
      </c>
      <c r="M122" s="66" t="s">
        <v>118</v>
      </c>
      <c r="N122" s="66"/>
      <c r="O122" s="66">
        <v>0</v>
      </c>
      <c r="P122" s="66">
        <v>100</v>
      </c>
      <c r="Q122" s="66">
        <v>200</v>
      </c>
      <c r="R122" s="33">
        <v>1</v>
      </c>
      <c r="S122" s="33">
        <v>1.2</v>
      </c>
      <c r="T122" s="66"/>
      <c r="U122" s="66">
        <v>30</v>
      </c>
      <c r="V122" s="33">
        <v>30</v>
      </c>
      <c r="W122" s="66">
        <v>12</v>
      </c>
      <c r="X122" s="66"/>
      <c r="Y122" s="66">
        <v>5</v>
      </c>
      <c r="Z122" s="66"/>
      <c r="AA122" s="34">
        <v>0</v>
      </c>
      <c r="AB122" s="34">
        <v>0</v>
      </c>
      <c r="AC122" s="34">
        <f t="shared" si="13"/>
        <v>0</v>
      </c>
      <c r="AD122" s="66"/>
      <c r="AE122" s="66"/>
      <c r="AF122" s="66"/>
    </row>
    <row r="123" spans="2:32">
      <c r="B123" s="66" t="str">
        <f t="shared" si="11"/>
        <v>ACC001</v>
      </c>
      <c r="C123" s="66" t="str">
        <f t="shared" si="22"/>
        <v>ACC001019</v>
      </c>
      <c r="D123" s="66" t="s">
        <v>209</v>
      </c>
      <c r="E123" s="66" t="s">
        <v>210</v>
      </c>
      <c r="F123" s="66" t="s">
        <v>151</v>
      </c>
      <c r="G123" s="66" t="s">
        <v>211</v>
      </c>
      <c r="H123" s="72" t="s">
        <v>348</v>
      </c>
      <c r="I123" s="66" t="s">
        <v>172</v>
      </c>
      <c r="J123" s="66" t="s">
        <v>230</v>
      </c>
      <c r="K123" s="66" t="str">
        <f t="shared" si="23"/>
        <v>Phụ Kiện Everlife Tấm bảo vệ nệm chống thấm Mẫu 3, 120 x 200 cm</v>
      </c>
      <c r="L123" s="66" t="str">
        <f>_xlfn.XLOOKUP(M123,'0. Mã Supplier'!$B:$B,'0. Mã Supplier'!$C:$C,0)</f>
        <v>SUVN0005</v>
      </c>
      <c r="M123" s="66" t="s">
        <v>118</v>
      </c>
      <c r="N123" s="66"/>
      <c r="O123" s="66">
        <v>0</v>
      </c>
      <c r="P123" s="66">
        <v>120</v>
      </c>
      <c r="Q123" s="66">
        <v>200</v>
      </c>
      <c r="R123" s="33">
        <v>1</v>
      </c>
      <c r="S123" s="33">
        <v>1.2</v>
      </c>
      <c r="T123" s="66"/>
      <c r="U123" s="66">
        <v>30</v>
      </c>
      <c r="V123" s="33">
        <v>30</v>
      </c>
      <c r="W123" s="66">
        <v>12</v>
      </c>
      <c r="X123" s="66"/>
      <c r="Y123" s="66">
        <v>5</v>
      </c>
      <c r="Z123" s="66"/>
      <c r="AA123" s="34">
        <v>0</v>
      </c>
      <c r="AB123" s="34">
        <v>396000.00000000006</v>
      </c>
      <c r="AC123" s="34">
        <f t="shared" si="13"/>
        <v>427680.00000000012</v>
      </c>
      <c r="AD123" s="66"/>
      <c r="AE123" s="66"/>
      <c r="AF123" s="66"/>
    </row>
    <row r="124" spans="2:32">
      <c r="B124" s="66" t="str">
        <f t="shared" si="11"/>
        <v>ACC001</v>
      </c>
      <c r="C124" s="66" t="str">
        <f t="shared" si="22"/>
        <v>ACC001020</v>
      </c>
      <c r="D124" s="66" t="s">
        <v>209</v>
      </c>
      <c r="E124" s="66" t="s">
        <v>210</v>
      </c>
      <c r="F124" s="66" t="s">
        <v>151</v>
      </c>
      <c r="G124" s="66" t="s">
        <v>211</v>
      </c>
      <c r="H124" s="72" t="s">
        <v>348</v>
      </c>
      <c r="I124" s="66" t="s">
        <v>173</v>
      </c>
      <c r="J124" s="66" t="s">
        <v>231</v>
      </c>
      <c r="K124" s="66" t="str">
        <f t="shared" si="23"/>
        <v>Phụ Kiện Everlife Tấm bảo vệ nệm chống thấm Mẫu 3, 140 x 200 cm</v>
      </c>
      <c r="L124" s="66" t="str">
        <f>_xlfn.XLOOKUP(M124,'0. Mã Supplier'!$B:$B,'0. Mã Supplier'!$C:$C,0)</f>
        <v>SUVN0005</v>
      </c>
      <c r="M124" s="66" t="s">
        <v>118</v>
      </c>
      <c r="N124" s="66"/>
      <c r="O124" s="66">
        <v>0</v>
      </c>
      <c r="P124" s="66">
        <v>140</v>
      </c>
      <c r="Q124" s="66">
        <v>200</v>
      </c>
      <c r="R124" s="33">
        <v>1</v>
      </c>
      <c r="S124" s="33">
        <v>1.2</v>
      </c>
      <c r="T124" s="66"/>
      <c r="U124" s="66">
        <v>30</v>
      </c>
      <c r="V124" s="33">
        <v>30</v>
      </c>
      <c r="W124" s="66">
        <v>12</v>
      </c>
      <c r="X124" s="66"/>
      <c r="Y124" s="66">
        <v>5</v>
      </c>
      <c r="Z124" s="66"/>
      <c r="AA124" s="34">
        <v>0</v>
      </c>
      <c r="AB124" s="34">
        <v>0</v>
      </c>
      <c r="AC124" s="34">
        <f t="shared" si="13"/>
        <v>0</v>
      </c>
      <c r="AD124" s="66"/>
      <c r="AE124" s="66"/>
      <c r="AF124" s="66"/>
    </row>
    <row r="125" spans="2:32">
      <c r="B125" s="66" t="str">
        <f t="shared" si="11"/>
        <v>ACC001</v>
      </c>
      <c r="C125" s="66" t="str">
        <f t="shared" si="22"/>
        <v>ACC001021</v>
      </c>
      <c r="D125" s="66" t="s">
        <v>209</v>
      </c>
      <c r="E125" s="66" t="s">
        <v>210</v>
      </c>
      <c r="F125" s="66" t="s">
        <v>151</v>
      </c>
      <c r="G125" s="66" t="s">
        <v>211</v>
      </c>
      <c r="H125" s="72" t="s">
        <v>348</v>
      </c>
      <c r="I125" s="66" t="s">
        <v>174</v>
      </c>
      <c r="J125" s="66" t="s">
        <v>232</v>
      </c>
      <c r="K125" s="66" t="str">
        <f t="shared" si="23"/>
        <v>Phụ Kiện Everlife Tấm bảo vệ nệm chống thấm Mẫu 3, 160 x 200 cm</v>
      </c>
      <c r="L125" s="66" t="str">
        <f>_xlfn.XLOOKUP(M125,'0. Mã Supplier'!$B:$B,'0. Mã Supplier'!$C:$C,0)</f>
        <v>SUVN0005</v>
      </c>
      <c r="M125" s="66" t="s">
        <v>118</v>
      </c>
      <c r="N125" s="66"/>
      <c r="O125" s="66">
        <v>0</v>
      </c>
      <c r="P125" s="66">
        <v>160</v>
      </c>
      <c r="Q125" s="66">
        <v>200</v>
      </c>
      <c r="R125" s="33">
        <v>1</v>
      </c>
      <c r="S125" s="33">
        <v>1.2</v>
      </c>
      <c r="T125" s="66"/>
      <c r="U125" s="66">
        <v>30</v>
      </c>
      <c r="V125" s="33">
        <v>30</v>
      </c>
      <c r="W125" s="66">
        <v>12</v>
      </c>
      <c r="X125" s="66"/>
      <c r="Y125" s="66">
        <v>5</v>
      </c>
      <c r="Z125" s="66"/>
      <c r="AA125" s="34">
        <v>0</v>
      </c>
      <c r="AB125" s="34">
        <v>467500.00000000006</v>
      </c>
      <c r="AC125" s="34">
        <f t="shared" si="13"/>
        <v>504900.00000000012</v>
      </c>
      <c r="AD125" s="66"/>
      <c r="AE125" s="66"/>
      <c r="AF125" s="66"/>
    </row>
    <row r="126" spans="2:32">
      <c r="B126" s="66" t="str">
        <f t="shared" si="11"/>
        <v>ACC001</v>
      </c>
      <c r="C126" s="66" t="str">
        <f t="shared" si="22"/>
        <v>ACC001022</v>
      </c>
      <c r="D126" s="66" t="s">
        <v>209</v>
      </c>
      <c r="E126" s="66" t="s">
        <v>210</v>
      </c>
      <c r="F126" s="66" t="s">
        <v>151</v>
      </c>
      <c r="G126" s="66" t="s">
        <v>211</v>
      </c>
      <c r="H126" s="72" t="s">
        <v>348</v>
      </c>
      <c r="I126" s="66" t="s">
        <v>175</v>
      </c>
      <c r="J126" s="66" t="s">
        <v>233</v>
      </c>
      <c r="K126" s="66" t="str">
        <f t="shared" si="23"/>
        <v>Phụ Kiện Everlife Tấm bảo vệ nệm chống thấm Mẫu 3, 180 x 200 cm</v>
      </c>
      <c r="L126" s="66" t="str">
        <f>_xlfn.XLOOKUP(M126,'0. Mã Supplier'!$B:$B,'0. Mã Supplier'!$C:$C,0)</f>
        <v>SUVN0005</v>
      </c>
      <c r="M126" s="66" t="s">
        <v>118</v>
      </c>
      <c r="N126" s="66"/>
      <c r="O126" s="66">
        <v>0</v>
      </c>
      <c r="P126" s="66">
        <v>180</v>
      </c>
      <c r="Q126" s="66">
        <v>200</v>
      </c>
      <c r="R126" s="33">
        <v>1</v>
      </c>
      <c r="S126" s="33">
        <v>1.2</v>
      </c>
      <c r="T126" s="66"/>
      <c r="U126" s="66">
        <v>30</v>
      </c>
      <c r="V126" s="33">
        <v>30</v>
      </c>
      <c r="W126" s="66">
        <v>12</v>
      </c>
      <c r="X126" s="66"/>
      <c r="Y126" s="66">
        <v>5</v>
      </c>
      <c r="Z126" s="66"/>
      <c r="AA126" s="34">
        <v>0</v>
      </c>
      <c r="AB126" s="34">
        <v>522500.00000000006</v>
      </c>
      <c r="AC126" s="34">
        <f t="shared" si="13"/>
        <v>564300.00000000012</v>
      </c>
      <c r="AD126" s="66"/>
      <c r="AE126" s="66"/>
      <c r="AF126" s="66"/>
    </row>
    <row r="127" spans="2:32">
      <c r="B127" s="66" t="str">
        <f t="shared" si="11"/>
        <v>ACC001</v>
      </c>
      <c r="C127" s="66" t="str">
        <f t="shared" si="22"/>
        <v>ACC001023</v>
      </c>
      <c r="D127" s="66" t="s">
        <v>209</v>
      </c>
      <c r="E127" s="66" t="s">
        <v>210</v>
      </c>
      <c r="F127" s="66" t="s">
        <v>151</v>
      </c>
      <c r="G127" s="66" t="s">
        <v>211</v>
      </c>
      <c r="H127" s="72" t="s">
        <v>348</v>
      </c>
      <c r="I127" s="66" t="s">
        <v>176</v>
      </c>
      <c r="J127" s="66" t="s">
        <v>234</v>
      </c>
      <c r="K127" s="66" t="str">
        <f t="shared" si="23"/>
        <v>Phụ Kiện Everlife Tấm bảo vệ nệm chống thấm Mẫu 3, 200 x 200 cm</v>
      </c>
      <c r="L127" s="66" t="str">
        <f>_xlfn.XLOOKUP(M127,'0. Mã Supplier'!$B:$B,'0. Mã Supplier'!$C:$C,0)</f>
        <v>SUVN0005</v>
      </c>
      <c r="M127" s="66" t="s">
        <v>118</v>
      </c>
      <c r="N127" s="66"/>
      <c r="O127" s="66">
        <v>0</v>
      </c>
      <c r="P127" s="66">
        <v>200</v>
      </c>
      <c r="Q127" s="66">
        <v>200</v>
      </c>
      <c r="R127" s="33">
        <v>1</v>
      </c>
      <c r="S127" s="33">
        <v>1.2</v>
      </c>
      <c r="T127" s="66"/>
      <c r="U127" s="66">
        <v>30</v>
      </c>
      <c r="V127" s="33">
        <v>30</v>
      </c>
      <c r="W127" s="66">
        <v>12</v>
      </c>
      <c r="X127" s="66"/>
      <c r="Y127" s="66">
        <v>5</v>
      </c>
      <c r="Z127" s="66"/>
      <c r="AA127" s="34">
        <v>0</v>
      </c>
      <c r="AB127" s="34">
        <v>0</v>
      </c>
      <c r="AC127" s="34">
        <f t="shared" si="13"/>
        <v>0</v>
      </c>
      <c r="AD127" s="66"/>
      <c r="AE127" s="66"/>
      <c r="AF127" s="66"/>
    </row>
    <row r="128" spans="2:32">
      <c r="B128" s="66" t="str">
        <f t="shared" si="11"/>
        <v>ACC001</v>
      </c>
      <c r="C128" s="66" t="str">
        <f t="shared" si="22"/>
        <v>ACC001024</v>
      </c>
      <c r="D128" s="66" t="s">
        <v>209</v>
      </c>
      <c r="E128" s="66" t="s">
        <v>210</v>
      </c>
      <c r="F128" s="66" t="s">
        <v>151</v>
      </c>
      <c r="G128" s="66" t="s">
        <v>211</v>
      </c>
      <c r="H128" s="72" t="s">
        <v>348</v>
      </c>
      <c r="I128" s="66" t="s">
        <v>177</v>
      </c>
      <c r="J128" s="66" t="s">
        <v>235</v>
      </c>
      <c r="K128" s="66" t="str">
        <f t="shared" si="23"/>
        <v>Phụ Kiện Everlife Tấm bảo vệ nệm chống thấm Mẫu 3, 200 x 220 cm</v>
      </c>
      <c r="L128" s="66" t="str">
        <f>_xlfn.XLOOKUP(M128,'0. Mã Supplier'!$B:$B,'0. Mã Supplier'!$C:$C,0)</f>
        <v>SUVN0005</v>
      </c>
      <c r="M128" s="66" t="s">
        <v>118</v>
      </c>
      <c r="N128" s="66"/>
      <c r="O128" s="66">
        <v>0</v>
      </c>
      <c r="P128" s="66">
        <v>200</v>
      </c>
      <c r="Q128" s="66">
        <v>220</v>
      </c>
      <c r="R128" s="33">
        <v>1</v>
      </c>
      <c r="S128" s="33">
        <v>1.2</v>
      </c>
      <c r="T128" s="66"/>
      <c r="U128" s="66">
        <v>30</v>
      </c>
      <c r="V128" s="33">
        <v>30</v>
      </c>
      <c r="W128" s="66">
        <v>12</v>
      </c>
      <c r="X128" s="66"/>
      <c r="Y128" s="66">
        <v>5</v>
      </c>
      <c r="Z128" s="66"/>
      <c r="AA128" s="34">
        <v>0</v>
      </c>
      <c r="AB128" s="34">
        <v>0</v>
      </c>
      <c r="AC128" s="34">
        <f t="shared" si="13"/>
        <v>0</v>
      </c>
      <c r="AD128" s="66"/>
      <c r="AE128" s="66"/>
      <c r="AF128" s="66"/>
    </row>
    <row r="129" spans="2:32">
      <c r="B129" s="66" t="str">
        <f t="shared" si="11"/>
        <v>BLA001</v>
      </c>
      <c r="C129" s="66" t="str">
        <f t="shared" si="22"/>
        <v>BLA001001</v>
      </c>
      <c r="D129" s="66" t="s">
        <v>236</v>
      </c>
      <c r="E129" s="66" t="s">
        <v>106</v>
      </c>
      <c r="F129" s="66" t="s">
        <v>151</v>
      </c>
      <c r="G129" s="66" t="s">
        <v>328</v>
      </c>
      <c r="H129" s="72" t="s">
        <v>349</v>
      </c>
      <c r="I129" s="66" t="s">
        <v>151</v>
      </c>
      <c r="J129" s="66" t="s">
        <v>237</v>
      </c>
      <c r="K129" s="66" t="str">
        <f t="shared" si="23"/>
        <v>Chăn Lạnh 4.8 Xanh dương pastel 200 x 230 cm, Vải cooling mát lạnh</v>
      </c>
      <c r="L129" s="66" t="str">
        <f>_xlfn.XLOOKUP(M129,'0. Mã Supplier'!$B:$B,'0. Mã Supplier'!$C:$C,0)</f>
        <v>SUVN0001</v>
      </c>
      <c r="M129" s="66" t="s">
        <v>107</v>
      </c>
      <c r="N129" s="66"/>
      <c r="O129" s="66">
        <v>0</v>
      </c>
      <c r="P129" s="66">
        <v>200</v>
      </c>
      <c r="Q129" s="66">
        <v>230</v>
      </c>
      <c r="R129" s="33">
        <v>20</v>
      </c>
      <c r="S129" s="33">
        <v>22</v>
      </c>
      <c r="T129" s="66"/>
      <c r="U129" s="66">
        <v>60</v>
      </c>
      <c r="V129" s="33">
        <v>40</v>
      </c>
      <c r="W129" s="66">
        <v>55</v>
      </c>
      <c r="X129" s="66"/>
      <c r="Y129" s="66">
        <v>5</v>
      </c>
      <c r="Z129" s="66"/>
      <c r="AA129" s="34">
        <v>0</v>
      </c>
      <c r="AB129" s="34">
        <v>280000</v>
      </c>
      <c r="AC129" s="34">
        <f t="shared" si="13"/>
        <v>302400</v>
      </c>
      <c r="AD129" s="66"/>
      <c r="AE129" s="66"/>
      <c r="AF129" s="66"/>
    </row>
    <row r="130" spans="2:32">
      <c r="B130" s="66" t="str">
        <f t="shared" si="11"/>
        <v>BLA001</v>
      </c>
      <c r="C130" s="66" t="str">
        <f t="shared" si="22"/>
        <v>BLA001002</v>
      </c>
      <c r="D130" s="66" t="s">
        <v>236</v>
      </c>
      <c r="E130" s="66" t="s">
        <v>106</v>
      </c>
      <c r="F130" s="66" t="s">
        <v>151</v>
      </c>
      <c r="G130" s="66" t="s">
        <v>328</v>
      </c>
      <c r="H130" s="72" t="s">
        <v>349</v>
      </c>
      <c r="I130" s="66" t="s">
        <v>155</v>
      </c>
      <c r="J130" s="66" t="s">
        <v>238</v>
      </c>
      <c r="K130" s="66" t="str">
        <f t="shared" si="23"/>
        <v>Chăn Lạnh 4.8 Xám pastel 200 x 230 cm, Vải cooling mát lạnh</v>
      </c>
      <c r="L130" s="66" t="str">
        <f>_xlfn.XLOOKUP(M130,'0. Mã Supplier'!$B:$B,'0. Mã Supplier'!$C:$C,0)</f>
        <v>SUVN0001</v>
      </c>
      <c r="M130" s="66" t="s">
        <v>107</v>
      </c>
      <c r="N130" s="66"/>
      <c r="O130" s="66">
        <v>0</v>
      </c>
      <c r="P130" s="66">
        <v>200</v>
      </c>
      <c r="Q130" s="66">
        <v>230</v>
      </c>
      <c r="R130" s="33">
        <v>20</v>
      </c>
      <c r="S130" s="33">
        <v>22</v>
      </c>
      <c r="T130" s="66"/>
      <c r="U130" s="66">
        <v>60</v>
      </c>
      <c r="V130" s="33">
        <v>40</v>
      </c>
      <c r="W130" s="66">
        <v>55</v>
      </c>
      <c r="X130" s="66"/>
      <c r="Y130" s="66">
        <v>5</v>
      </c>
      <c r="Z130" s="66"/>
      <c r="AA130" s="34">
        <v>0</v>
      </c>
      <c r="AB130" s="34">
        <v>280000</v>
      </c>
      <c r="AC130" s="34">
        <f t="shared" si="13"/>
        <v>302400</v>
      </c>
      <c r="AD130" s="66"/>
      <c r="AE130" s="66"/>
      <c r="AF130" s="66"/>
    </row>
    <row r="131" spans="2:32">
      <c r="B131" s="66" t="str">
        <f t="shared" si="11"/>
        <v>BLA001</v>
      </c>
      <c r="C131" s="66" t="str">
        <f t="shared" si="22"/>
        <v>BLA001003</v>
      </c>
      <c r="D131" s="66" t="s">
        <v>236</v>
      </c>
      <c r="E131" s="66" t="s">
        <v>106</v>
      </c>
      <c r="F131" s="66" t="s">
        <v>151</v>
      </c>
      <c r="G131" s="66" t="s">
        <v>328</v>
      </c>
      <c r="H131" s="72" t="s">
        <v>349</v>
      </c>
      <c r="I131" s="66" t="s">
        <v>156</v>
      </c>
      <c r="J131" s="66" t="s">
        <v>239</v>
      </c>
      <c r="K131" s="66" t="str">
        <f t="shared" si="23"/>
        <v>Chăn Lạnh 4.8 Tím hoa cà 200 x 230 cm, Vải cooling mát lạnh</v>
      </c>
      <c r="L131" s="66" t="str">
        <f>_xlfn.XLOOKUP(M131,'0. Mã Supplier'!$B:$B,'0. Mã Supplier'!$C:$C,0)</f>
        <v>SUVN0001</v>
      </c>
      <c r="M131" s="66" t="s">
        <v>107</v>
      </c>
      <c r="N131" s="66"/>
      <c r="O131" s="66">
        <v>0</v>
      </c>
      <c r="P131" s="66">
        <v>200</v>
      </c>
      <c r="Q131" s="66">
        <v>230</v>
      </c>
      <c r="R131" s="33">
        <v>20</v>
      </c>
      <c r="S131" s="33">
        <v>22</v>
      </c>
      <c r="T131" s="66"/>
      <c r="U131" s="66">
        <v>60</v>
      </c>
      <c r="V131" s="33">
        <v>40</v>
      </c>
      <c r="W131" s="66">
        <v>55</v>
      </c>
      <c r="X131" s="66"/>
      <c r="Y131" s="66">
        <v>5</v>
      </c>
      <c r="Z131" s="66"/>
      <c r="AA131" s="34">
        <v>0</v>
      </c>
      <c r="AB131" s="34">
        <v>280000</v>
      </c>
      <c r="AC131" s="34">
        <f t="shared" si="13"/>
        <v>302400</v>
      </c>
      <c r="AD131" s="67">
        <f>AB131/(1-0.55)</f>
        <v>622222.22222222225</v>
      </c>
      <c r="AE131" s="66"/>
      <c r="AF131" s="66"/>
    </row>
    <row r="132" spans="2:32">
      <c r="B132" s="66" t="str">
        <f t="shared" si="11"/>
        <v>BLA001</v>
      </c>
      <c r="C132" s="66" t="str">
        <f t="shared" si="22"/>
        <v>BLA001004</v>
      </c>
      <c r="D132" s="66" t="s">
        <v>236</v>
      </c>
      <c r="E132" s="66" t="s">
        <v>106</v>
      </c>
      <c r="F132" s="66" t="s">
        <v>151</v>
      </c>
      <c r="G132" s="66" t="s">
        <v>328</v>
      </c>
      <c r="H132" s="72" t="s">
        <v>349</v>
      </c>
      <c r="I132" s="66" t="s">
        <v>157</v>
      </c>
      <c r="J132" s="66" t="s">
        <v>240</v>
      </c>
      <c r="K132" s="66" t="str">
        <f t="shared" si="23"/>
        <v>Chăn Lạnh 4.8 Xanh lá pastel 200 x 230 cm, Vải cooling mát lạnh</v>
      </c>
      <c r="L132" s="66" t="str">
        <f>_xlfn.XLOOKUP(M132,'0. Mã Supplier'!$B:$B,'0. Mã Supplier'!$C:$C,0)</f>
        <v>SUVN0001</v>
      </c>
      <c r="M132" s="66" t="s">
        <v>107</v>
      </c>
      <c r="N132" s="66"/>
      <c r="O132" s="66">
        <v>0</v>
      </c>
      <c r="P132" s="66">
        <v>200</v>
      </c>
      <c r="Q132" s="66">
        <v>230</v>
      </c>
      <c r="R132" s="33">
        <v>20</v>
      </c>
      <c r="S132" s="33">
        <v>22</v>
      </c>
      <c r="T132" s="66"/>
      <c r="U132" s="66">
        <v>60</v>
      </c>
      <c r="V132" s="33">
        <v>40</v>
      </c>
      <c r="W132" s="66">
        <v>55</v>
      </c>
      <c r="X132" s="66"/>
      <c r="Y132" s="66">
        <v>5</v>
      </c>
      <c r="Z132" s="66"/>
      <c r="AA132" s="34">
        <v>0</v>
      </c>
      <c r="AB132" s="34">
        <v>280000</v>
      </c>
      <c r="AC132" s="34">
        <f t="shared" si="13"/>
        <v>302400</v>
      </c>
      <c r="AD132" s="66"/>
      <c r="AE132" s="66"/>
      <c r="AF132" s="66"/>
    </row>
    <row r="133" spans="2:32">
      <c r="B133" s="66" t="str">
        <f t="shared" si="11"/>
        <v>BLA001</v>
      </c>
      <c r="C133" s="66" t="str">
        <f t="shared" si="22"/>
        <v>BLA001005</v>
      </c>
      <c r="D133" s="66" t="s">
        <v>236</v>
      </c>
      <c r="E133" s="66" t="s">
        <v>106</v>
      </c>
      <c r="F133" s="66" t="s">
        <v>151</v>
      </c>
      <c r="G133" s="66" t="s">
        <v>328</v>
      </c>
      <c r="H133" s="72" t="s">
        <v>349</v>
      </c>
      <c r="I133" s="66" t="s">
        <v>158</v>
      </c>
      <c r="J133" s="66" t="s">
        <v>241</v>
      </c>
      <c r="K133" s="66" t="str">
        <f t="shared" si="23"/>
        <v>Chăn Lạnh 4.8 Xanh dương xám 200 x 230 cm, Vải cooling mát lạnh</v>
      </c>
      <c r="L133" s="66" t="str">
        <f>_xlfn.XLOOKUP(M133,'0. Mã Supplier'!$B:$B,'0. Mã Supplier'!$C:$C,0)</f>
        <v>SUVN0001</v>
      </c>
      <c r="M133" s="66" t="s">
        <v>107</v>
      </c>
      <c r="N133" s="66"/>
      <c r="O133" s="66">
        <v>0</v>
      </c>
      <c r="P133" s="66">
        <v>200</v>
      </c>
      <c r="Q133" s="66">
        <v>230</v>
      </c>
      <c r="R133" s="33">
        <v>20</v>
      </c>
      <c r="S133" s="33">
        <v>22</v>
      </c>
      <c r="T133" s="66"/>
      <c r="U133" s="66">
        <v>60</v>
      </c>
      <c r="V133" s="33">
        <v>40</v>
      </c>
      <c r="W133" s="66">
        <v>55</v>
      </c>
      <c r="X133" s="66"/>
      <c r="Y133" s="66">
        <v>5</v>
      </c>
      <c r="Z133" s="66"/>
      <c r="AA133" s="34">
        <v>0</v>
      </c>
      <c r="AB133" s="34">
        <v>280000</v>
      </c>
      <c r="AC133" s="34">
        <f t="shared" si="13"/>
        <v>302400</v>
      </c>
      <c r="AD133" s="66"/>
      <c r="AE133" s="66"/>
      <c r="AF133" s="66"/>
    </row>
    <row r="134" spans="2:32">
      <c r="B134" s="66" t="str">
        <f t="shared" si="11"/>
        <v>BLA001</v>
      </c>
      <c r="C134" s="66" t="str">
        <f t="shared" si="22"/>
        <v>BLA001006</v>
      </c>
      <c r="D134" s="66" t="s">
        <v>236</v>
      </c>
      <c r="E134" s="66" t="s">
        <v>106</v>
      </c>
      <c r="F134" s="66" t="s">
        <v>151</v>
      </c>
      <c r="G134" s="66" t="s">
        <v>327</v>
      </c>
      <c r="H134" s="72" t="s">
        <v>349</v>
      </c>
      <c r="I134" s="66" t="s">
        <v>159</v>
      </c>
      <c r="J134" s="66" t="s">
        <v>242</v>
      </c>
      <c r="K134" s="66" t="str">
        <f t="shared" si="23"/>
        <v>Chăn Lạnh 3.5 Xanh dương pastel 200 x 230 cm, Microfiber mát lạnh</v>
      </c>
      <c r="L134" s="66" t="str">
        <f>_xlfn.XLOOKUP(M134,'0. Mã Supplier'!$B:$B,'0. Mã Supplier'!$C:$C,0)</f>
        <v>SUVN0005</v>
      </c>
      <c r="M134" s="66" t="s">
        <v>118</v>
      </c>
      <c r="N134" s="66"/>
      <c r="O134" s="66">
        <v>0</v>
      </c>
      <c r="P134" s="66">
        <v>200</v>
      </c>
      <c r="Q134" s="66">
        <v>230</v>
      </c>
      <c r="R134" s="33">
        <v>15</v>
      </c>
      <c r="S134" s="33">
        <v>18</v>
      </c>
      <c r="T134" s="66"/>
      <c r="U134" s="66">
        <v>60</v>
      </c>
      <c r="V134" s="33">
        <v>42</v>
      </c>
      <c r="W134" s="66">
        <v>42</v>
      </c>
      <c r="X134" s="66"/>
      <c r="Y134" s="66">
        <v>5</v>
      </c>
      <c r="Z134" s="66"/>
      <c r="AA134" s="34">
        <v>0</v>
      </c>
      <c r="AB134" s="34">
        <v>200000</v>
      </c>
      <c r="AC134" s="34">
        <f t="shared" si="13"/>
        <v>216000</v>
      </c>
      <c r="AD134" s="66"/>
      <c r="AE134" s="66"/>
      <c r="AF134" s="66"/>
    </row>
    <row r="135" spans="2:32">
      <c r="B135" s="66" t="str">
        <f t="shared" si="11"/>
        <v>BLA001</v>
      </c>
      <c r="C135" s="66" t="str">
        <f t="shared" si="22"/>
        <v>BLA001007</v>
      </c>
      <c r="D135" s="66" t="s">
        <v>236</v>
      </c>
      <c r="E135" s="66" t="s">
        <v>106</v>
      </c>
      <c r="F135" s="66" t="s">
        <v>151</v>
      </c>
      <c r="G135" s="66" t="s">
        <v>327</v>
      </c>
      <c r="H135" s="72" t="s">
        <v>349</v>
      </c>
      <c r="I135" s="66" t="s">
        <v>160</v>
      </c>
      <c r="J135" s="66" t="s">
        <v>243</v>
      </c>
      <c r="K135" s="66" t="str">
        <f t="shared" si="23"/>
        <v>Chăn Lạnh 3.5 Xám pastel 200 x 230 cm, Microfiber mát lạnh</v>
      </c>
      <c r="L135" s="66" t="str">
        <f>_xlfn.XLOOKUP(M135,'0. Mã Supplier'!$B:$B,'0. Mã Supplier'!$C:$C,0)</f>
        <v>SUVN0005</v>
      </c>
      <c r="M135" s="66" t="s">
        <v>118</v>
      </c>
      <c r="N135" s="66"/>
      <c r="O135" s="66">
        <v>0</v>
      </c>
      <c r="P135" s="66">
        <v>200</v>
      </c>
      <c r="Q135" s="66">
        <v>230</v>
      </c>
      <c r="R135" s="33">
        <v>15</v>
      </c>
      <c r="S135" s="33">
        <v>18</v>
      </c>
      <c r="T135" s="66"/>
      <c r="U135" s="66">
        <v>60</v>
      </c>
      <c r="V135" s="33">
        <v>42</v>
      </c>
      <c r="W135" s="66">
        <v>42</v>
      </c>
      <c r="X135" s="66"/>
      <c r="Y135" s="66">
        <v>5</v>
      </c>
      <c r="Z135" s="66"/>
      <c r="AA135" s="34">
        <v>0</v>
      </c>
      <c r="AB135" s="34">
        <v>200000</v>
      </c>
      <c r="AC135" s="34">
        <f t="shared" si="13"/>
        <v>216000</v>
      </c>
      <c r="AD135" s="66"/>
      <c r="AE135" s="66"/>
      <c r="AF135" s="66"/>
    </row>
    <row r="136" spans="2:32">
      <c r="B136" s="66" t="str">
        <f t="shared" si="11"/>
        <v>BLA001</v>
      </c>
      <c r="C136" s="66" t="str">
        <f t="shared" ref="C136:C150" si="24">_xlfn.CONCAT(D136,F136,I136)</f>
        <v>BLA001008</v>
      </c>
      <c r="D136" s="66" t="s">
        <v>236</v>
      </c>
      <c r="E136" s="66" t="s">
        <v>106</v>
      </c>
      <c r="F136" s="66" t="s">
        <v>151</v>
      </c>
      <c r="G136" s="66" t="s">
        <v>327</v>
      </c>
      <c r="H136" s="72" t="s">
        <v>349</v>
      </c>
      <c r="I136" s="66" t="s">
        <v>161</v>
      </c>
      <c r="J136" s="66" t="s">
        <v>244</v>
      </c>
      <c r="K136" s="66" t="str">
        <f t="shared" ref="K136:K150" si="25">_xlfn.CONCAT(E136," ",G136," ",J136)</f>
        <v>Chăn Lạnh 3.5 Tím hoa cà 200 x 230 cm, Microfiber mát lạnh</v>
      </c>
      <c r="L136" s="66" t="str">
        <f>_xlfn.XLOOKUP(M136,'0. Mã Supplier'!$B:$B,'0. Mã Supplier'!$C:$C,0)</f>
        <v>SUVN0005</v>
      </c>
      <c r="M136" s="66" t="s">
        <v>118</v>
      </c>
      <c r="N136" s="66"/>
      <c r="O136" s="66">
        <v>0</v>
      </c>
      <c r="P136" s="66">
        <v>200</v>
      </c>
      <c r="Q136" s="66">
        <v>230</v>
      </c>
      <c r="R136" s="33">
        <v>15</v>
      </c>
      <c r="S136" s="33">
        <v>18</v>
      </c>
      <c r="T136" s="66"/>
      <c r="U136" s="66">
        <v>60</v>
      </c>
      <c r="V136" s="33">
        <v>42</v>
      </c>
      <c r="W136" s="66">
        <v>42</v>
      </c>
      <c r="X136" s="66"/>
      <c r="Y136" s="66">
        <v>5</v>
      </c>
      <c r="Z136" s="66"/>
      <c r="AA136" s="34">
        <v>0</v>
      </c>
      <c r="AB136" s="34">
        <v>200000</v>
      </c>
      <c r="AC136" s="34">
        <f t="shared" si="13"/>
        <v>216000</v>
      </c>
      <c r="AD136" s="67">
        <f>AB136/(1-0.55)</f>
        <v>444444.4444444445</v>
      </c>
      <c r="AE136" s="66"/>
      <c r="AF136" s="66"/>
    </row>
    <row r="137" spans="2:32">
      <c r="B137" s="66" t="str">
        <f t="shared" si="11"/>
        <v>BLA001</v>
      </c>
      <c r="C137" s="66" t="str">
        <f t="shared" si="24"/>
        <v>BLA001009</v>
      </c>
      <c r="D137" s="66" t="s">
        <v>236</v>
      </c>
      <c r="E137" s="66" t="s">
        <v>106</v>
      </c>
      <c r="F137" s="66" t="s">
        <v>151</v>
      </c>
      <c r="G137" s="66" t="s">
        <v>327</v>
      </c>
      <c r="H137" s="72" t="s">
        <v>349</v>
      </c>
      <c r="I137" s="66" t="s">
        <v>162</v>
      </c>
      <c r="J137" s="66" t="s">
        <v>245</v>
      </c>
      <c r="K137" s="66" t="str">
        <f t="shared" si="25"/>
        <v>Chăn Lạnh 3.5 Xanh lá pastel 200 x 230 cm, Microfiber mát lạnh</v>
      </c>
      <c r="L137" s="66" t="str">
        <f>_xlfn.XLOOKUP(M137,'0. Mã Supplier'!$B:$B,'0. Mã Supplier'!$C:$C,0)</f>
        <v>SUVN0005</v>
      </c>
      <c r="M137" s="66" t="s">
        <v>118</v>
      </c>
      <c r="N137" s="66"/>
      <c r="O137" s="66">
        <v>0</v>
      </c>
      <c r="P137" s="66">
        <v>200</v>
      </c>
      <c r="Q137" s="66">
        <v>230</v>
      </c>
      <c r="R137" s="33">
        <v>15</v>
      </c>
      <c r="S137" s="33">
        <v>18</v>
      </c>
      <c r="T137" s="66"/>
      <c r="U137" s="66">
        <v>60</v>
      </c>
      <c r="V137" s="33">
        <v>42</v>
      </c>
      <c r="W137" s="66">
        <v>42</v>
      </c>
      <c r="X137" s="66"/>
      <c r="Y137" s="66">
        <v>5</v>
      </c>
      <c r="Z137" s="66"/>
      <c r="AA137" s="34">
        <v>0</v>
      </c>
      <c r="AB137" s="34">
        <v>200000</v>
      </c>
      <c r="AC137" s="34">
        <f t="shared" ref="AC137:AC150" si="26">AB137*1.08</f>
        <v>216000</v>
      </c>
      <c r="AD137" s="66"/>
      <c r="AE137" s="66"/>
      <c r="AF137" s="66"/>
    </row>
    <row r="138" spans="2:32">
      <c r="B138" s="66" t="str">
        <f t="shared" si="11"/>
        <v>BLA001</v>
      </c>
      <c r="C138" s="66" t="str">
        <f t="shared" si="24"/>
        <v>BLA001010</v>
      </c>
      <c r="D138" s="66" t="s">
        <v>236</v>
      </c>
      <c r="E138" s="66" t="s">
        <v>106</v>
      </c>
      <c r="F138" s="66" t="s">
        <v>151</v>
      </c>
      <c r="G138" s="66" t="s">
        <v>327</v>
      </c>
      <c r="H138" s="72" t="s">
        <v>349</v>
      </c>
      <c r="I138" s="66" t="s">
        <v>163</v>
      </c>
      <c r="J138" s="66" t="s">
        <v>246</v>
      </c>
      <c r="K138" s="66" t="str">
        <f t="shared" si="25"/>
        <v>Chăn Lạnh 3.5 Xanh dương xám 200 x 230 cm, Microfiber mát lạnh</v>
      </c>
      <c r="L138" s="66" t="str">
        <f>_xlfn.XLOOKUP(M138,'0. Mã Supplier'!$B:$B,'0. Mã Supplier'!$C:$C,0)</f>
        <v>SUVN0005</v>
      </c>
      <c r="M138" s="66" t="s">
        <v>118</v>
      </c>
      <c r="N138" s="66"/>
      <c r="O138" s="66">
        <v>0</v>
      </c>
      <c r="P138" s="66">
        <v>200</v>
      </c>
      <c r="Q138" s="66">
        <v>230</v>
      </c>
      <c r="R138" s="33">
        <v>15</v>
      </c>
      <c r="S138" s="33">
        <v>18</v>
      </c>
      <c r="T138" s="66"/>
      <c r="U138" s="66">
        <v>60</v>
      </c>
      <c r="V138" s="33">
        <v>42</v>
      </c>
      <c r="W138" s="66">
        <v>42</v>
      </c>
      <c r="X138" s="66"/>
      <c r="Y138" s="66">
        <v>5</v>
      </c>
      <c r="Z138" s="66"/>
      <c r="AA138" s="34">
        <v>0</v>
      </c>
      <c r="AB138" s="34">
        <v>200000</v>
      </c>
      <c r="AC138" s="34">
        <f t="shared" si="26"/>
        <v>216000</v>
      </c>
      <c r="AD138" s="66"/>
      <c r="AE138" s="66"/>
      <c r="AF138" s="66"/>
    </row>
    <row r="139" spans="2:32">
      <c r="B139" s="66" t="str">
        <f t="shared" si="11"/>
        <v>BLA001</v>
      </c>
      <c r="C139" s="66" t="str">
        <f t="shared" si="24"/>
        <v>BLA001011</v>
      </c>
      <c r="D139" s="66" t="s">
        <v>236</v>
      </c>
      <c r="E139" s="66" t="s">
        <v>106</v>
      </c>
      <c r="F139" s="66" t="s">
        <v>151</v>
      </c>
      <c r="G139" s="66" t="s">
        <v>328</v>
      </c>
      <c r="H139" s="72" t="s">
        <v>349</v>
      </c>
      <c r="I139" s="68" t="s">
        <v>164</v>
      </c>
      <c r="J139" s="66" t="s">
        <v>247</v>
      </c>
      <c r="K139" s="66" t="str">
        <f t="shared" si="25"/>
        <v>Chăn Lạnh 4.8 Màu không thuộc phân loại 200 x 230 cm</v>
      </c>
      <c r="L139" s="66" t="str">
        <f>_xlfn.XLOOKUP(M139,'0. Mã Supplier'!$B:$B,'0. Mã Supplier'!$C:$C,0)</f>
        <v>SUVN0001</v>
      </c>
      <c r="M139" s="66" t="s">
        <v>107</v>
      </c>
      <c r="N139" s="66"/>
      <c r="O139" s="66">
        <v>0</v>
      </c>
      <c r="P139" s="66">
        <v>200</v>
      </c>
      <c r="Q139" s="66">
        <v>230</v>
      </c>
      <c r="R139" s="33">
        <v>15</v>
      </c>
      <c r="S139" s="33">
        <v>18</v>
      </c>
      <c r="T139" s="66"/>
      <c r="U139" s="66">
        <v>60</v>
      </c>
      <c r="V139" s="33">
        <v>42</v>
      </c>
      <c r="W139" s="66">
        <v>42</v>
      </c>
      <c r="X139" s="66"/>
      <c r="Y139" s="66">
        <v>5</v>
      </c>
      <c r="Z139" s="66"/>
      <c r="AA139" s="34">
        <v>0</v>
      </c>
      <c r="AB139" s="34">
        <v>200000</v>
      </c>
      <c r="AC139" s="34">
        <f t="shared" si="26"/>
        <v>216000</v>
      </c>
      <c r="AD139" s="66"/>
      <c r="AE139" s="66"/>
      <c r="AF139" s="66"/>
    </row>
    <row r="140" spans="2:32">
      <c r="B140" s="66" t="str">
        <f t="shared" si="11"/>
        <v>BLA002</v>
      </c>
      <c r="C140" s="66" t="str">
        <f t="shared" si="24"/>
        <v>BLA002001</v>
      </c>
      <c r="D140" s="66" t="s">
        <v>236</v>
      </c>
      <c r="E140" s="66" t="s">
        <v>106</v>
      </c>
      <c r="F140" s="66" t="s">
        <v>155</v>
      </c>
      <c r="G140" s="66" t="s">
        <v>248</v>
      </c>
      <c r="H140" s="72" t="s">
        <v>350</v>
      </c>
      <c r="I140" s="66" t="s">
        <v>151</v>
      </c>
      <c r="J140" s="66" t="s">
        <v>249</v>
      </c>
      <c r="K140" s="66" t="str">
        <f t="shared" si="25"/>
        <v>Chăn Tencel 60s Xanh dương pastel 200 x 230 cm</v>
      </c>
      <c r="L140" s="66" t="str">
        <f>_xlfn.XLOOKUP(M140,'0. Mã Supplier'!$B:$B,'0. Mã Supplier'!$C:$C,0)</f>
        <v>SUVN0001</v>
      </c>
      <c r="M140" s="66" t="s">
        <v>107</v>
      </c>
      <c r="N140" s="66"/>
      <c r="O140" s="66">
        <v>0</v>
      </c>
      <c r="P140" s="66">
        <v>200</v>
      </c>
      <c r="Q140" s="66">
        <v>230</v>
      </c>
      <c r="R140" s="33">
        <v>2</v>
      </c>
      <c r="S140" s="33">
        <v>2.2000000000000002</v>
      </c>
      <c r="T140" s="66"/>
      <c r="U140" s="66">
        <v>60</v>
      </c>
      <c r="V140" s="33">
        <v>45</v>
      </c>
      <c r="W140" s="66">
        <v>3</v>
      </c>
      <c r="X140" s="66"/>
      <c r="Y140" s="66">
        <v>5</v>
      </c>
      <c r="Z140" s="66"/>
      <c r="AA140" s="34">
        <v>0</v>
      </c>
      <c r="AB140" s="34">
        <v>429000</v>
      </c>
      <c r="AC140" s="34">
        <f t="shared" si="26"/>
        <v>463320.00000000006</v>
      </c>
      <c r="AD140" s="66"/>
      <c r="AE140" s="66"/>
      <c r="AF140" s="66"/>
    </row>
    <row r="141" spans="2:32">
      <c r="B141" s="66" t="str">
        <f t="shared" si="11"/>
        <v>BLA002</v>
      </c>
      <c r="C141" s="66" t="str">
        <f t="shared" si="24"/>
        <v>BLA002002</v>
      </c>
      <c r="D141" s="66" t="s">
        <v>236</v>
      </c>
      <c r="E141" s="66" t="s">
        <v>106</v>
      </c>
      <c r="F141" s="66" t="s">
        <v>155</v>
      </c>
      <c r="G141" s="66" t="s">
        <v>248</v>
      </c>
      <c r="H141" s="72" t="s">
        <v>350</v>
      </c>
      <c r="I141" s="66" t="s">
        <v>155</v>
      </c>
      <c r="J141" s="66" t="s">
        <v>250</v>
      </c>
      <c r="K141" s="66" t="str">
        <f t="shared" si="25"/>
        <v>Chăn Tencel 60s Hồng pastel 200 x 230 cm</v>
      </c>
      <c r="L141" s="66" t="str">
        <f>_xlfn.XLOOKUP(M141,'0. Mã Supplier'!$B:$B,'0. Mã Supplier'!$C:$C,0)</f>
        <v>SUVN0001</v>
      </c>
      <c r="M141" s="66" t="s">
        <v>107</v>
      </c>
      <c r="N141" s="66"/>
      <c r="O141" s="66">
        <v>0</v>
      </c>
      <c r="P141" s="66">
        <v>200</v>
      </c>
      <c r="Q141" s="66">
        <v>230</v>
      </c>
      <c r="R141" s="33">
        <v>2</v>
      </c>
      <c r="S141" s="33">
        <v>2.2000000000000002</v>
      </c>
      <c r="T141" s="66"/>
      <c r="U141" s="66">
        <v>60</v>
      </c>
      <c r="V141" s="33">
        <v>45</v>
      </c>
      <c r="W141" s="66">
        <v>3</v>
      </c>
      <c r="X141" s="66"/>
      <c r="Y141" s="66">
        <v>5</v>
      </c>
      <c r="Z141" s="66"/>
      <c r="AA141" s="34">
        <v>0</v>
      </c>
      <c r="AB141" s="34">
        <v>429000</v>
      </c>
      <c r="AC141" s="34">
        <f t="shared" si="26"/>
        <v>463320.00000000006</v>
      </c>
      <c r="AD141" s="66"/>
      <c r="AE141" s="66"/>
      <c r="AF141" s="66"/>
    </row>
    <row r="142" spans="2:32">
      <c r="B142" s="66" t="str">
        <f t="shared" si="11"/>
        <v>BLA002</v>
      </c>
      <c r="C142" s="66" t="str">
        <f t="shared" si="24"/>
        <v>BLA002003</v>
      </c>
      <c r="D142" s="66" t="s">
        <v>236</v>
      </c>
      <c r="E142" s="66" t="s">
        <v>106</v>
      </c>
      <c r="F142" s="66" t="s">
        <v>155</v>
      </c>
      <c r="G142" s="66" t="s">
        <v>248</v>
      </c>
      <c r="H142" s="72" t="s">
        <v>350</v>
      </c>
      <c r="I142" s="66" t="s">
        <v>156</v>
      </c>
      <c r="J142" s="66" t="s">
        <v>251</v>
      </c>
      <c r="K142" s="66" t="str">
        <f t="shared" si="25"/>
        <v>Chăn Tencel 60s Xanh rêu pastel 200 x 230 cm</v>
      </c>
      <c r="L142" s="66" t="str">
        <f>_xlfn.XLOOKUP(M142,'0. Mã Supplier'!$B:$B,'0. Mã Supplier'!$C:$C,0)</f>
        <v>SUVN0001</v>
      </c>
      <c r="M142" s="66" t="s">
        <v>107</v>
      </c>
      <c r="N142" s="66"/>
      <c r="O142" s="66">
        <v>0</v>
      </c>
      <c r="P142" s="66">
        <v>200</v>
      </c>
      <c r="Q142" s="66">
        <v>230</v>
      </c>
      <c r="R142" s="33">
        <v>2</v>
      </c>
      <c r="S142" s="33">
        <v>2.2000000000000002</v>
      </c>
      <c r="T142" s="66"/>
      <c r="U142" s="66">
        <v>60</v>
      </c>
      <c r="V142" s="33">
        <v>45</v>
      </c>
      <c r="W142" s="66">
        <v>3</v>
      </c>
      <c r="X142" s="66"/>
      <c r="Y142" s="66">
        <v>5</v>
      </c>
      <c r="Z142" s="66"/>
      <c r="AA142" s="34">
        <v>0</v>
      </c>
      <c r="AB142" s="34">
        <v>429000</v>
      </c>
      <c r="AC142" s="34">
        <f t="shared" si="26"/>
        <v>463320.00000000006</v>
      </c>
      <c r="AD142" s="66"/>
      <c r="AE142" s="66"/>
      <c r="AF142" s="66"/>
    </row>
    <row r="143" spans="2:32">
      <c r="B143" s="66" t="str">
        <f t="shared" ref="B143:B158" si="27">D143&amp;F143</f>
        <v>BLA002</v>
      </c>
      <c r="C143" s="66" t="str">
        <f t="shared" si="24"/>
        <v>BLA002004</v>
      </c>
      <c r="D143" s="66" t="s">
        <v>236</v>
      </c>
      <c r="E143" s="66" t="s">
        <v>106</v>
      </c>
      <c r="F143" s="66" t="s">
        <v>155</v>
      </c>
      <c r="G143" s="66" t="s">
        <v>248</v>
      </c>
      <c r="H143" s="72" t="s">
        <v>350</v>
      </c>
      <c r="I143" s="66" t="s">
        <v>157</v>
      </c>
      <c r="J143" s="66" t="s">
        <v>252</v>
      </c>
      <c r="K143" s="66" t="str">
        <f t="shared" si="25"/>
        <v>Chăn Tencel 60s Hồng trắng pastel 200 x 230 cm</v>
      </c>
      <c r="L143" s="66" t="str">
        <f>_xlfn.XLOOKUP(M143,'0. Mã Supplier'!$B:$B,'0. Mã Supplier'!$C:$C,0)</f>
        <v>SUVN0001</v>
      </c>
      <c r="M143" s="66" t="s">
        <v>107</v>
      </c>
      <c r="N143" s="66"/>
      <c r="O143" s="66">
        <v>0</v>
      </c>
      <c r="P143" s="66">
        <v>200</v>
      </c>
      <c r="Q143" s="66">
        <v>230</v>
      </c>
      <c r="R143" s="33">
        <v>2</v>
      </c>
      <c r="S143" s="33">
        <v>2.2000000000000002</v>
      </c>
      <c r="T143" s="66"/>
      <c r="U143" s="66">
        <v>60</v>
      </c>
      <c r="V143" s="33">
        <v>45</v>
      </c>
      <c r="W143" s="66">
        <v>3</v>
      </c>
      <c r="X143" s="66"/>
      <c r="Y143" s="66">
        <v>5</v>
      </c>
      <c r="Z143" s="66"/>
      <c r="AA143" s="34">
        <v>0</v>
      </c>
      <c r="AB143" s="34">
        <v>429000</v>
      </c>
      <c r="AC143" s="34">
        <f t="shared" si="26"/>
        <v>463320.00000000006</v>
      </c>
      <c r="AD143" s="66"/>
      <c r="AE143" s="66"/>
      <c r="AF143" s="66"/>
    </row>
    <row r="144" spans="2:32">
      <c r="B144" s="66" t="str">
        <f t="shared" si="27"/>
        <v>BLA002</v>
      </c>
      <c r="C144" s="66" t="str">
        <f t="shared" si="24"/>
        <v>BLA002005</v>
      </c>
      <c r="D144" s="66" t="s">
        <v>236</v>
      </c>
      <c r="E144" s="66" t="s">
        <v>106</v>
      </c>
      <c r="F144" s="66" t="s">
        <v>155</v>
      </c>
      <c r="G144" s="66" t="s">
        <v>248</v>
      </c>
      <c r="H144" s="72" t="s">
        <v>350</v>
      </c>
      <c r="I144" s="66" t="s">
        <v>158</v>
      </c>
      <c r="J144" s="66" t="s">
        <v>253</v>
      </c>
      <c r="K144" s="66" t="str">
        <f t="shared" si="25"/>
        <v>Chăn Tencel 60s Xám lông chuột 200 x 230 cm</v>
      </c>
      <c r="L144" s="66" t="str">
        <f>_xlfn.XLOOKUP(M144,'0. Mã Supplier'!$B:$B,'0. Mã Supplier'!$C:$C,0)</f>
        <v>SUVN0001</v>
      </c>
      <c r="M144" s="66" t="s">
        <v>107</v>
      </c>
      <c r="N144" s="66"/>
      <c r="O144" s="66">
        <v>0</v>
      </c>
      <c r="P144" s="66">
        <v>200</v>
      </c>
      <c r="Q144" s="66">
        <v>230</v>
      </c>
      <c r="R144" s="33">
        <v>2</v>
      </c>
      <c r="S144" s="33">
        <v>2.2000000000000002</v>
      </c>
      <c r="T144" s="66"/>
      <c r="U144" s="66">
        <v>60</v>
      </c>
      <c r="V144" s="33">
        <v>45</v>
      </c>
      <c r="W144" s="66">
        <v>3</v>
      </c>
      <c r="X144" s="66"/>
      <c r="Y144" s="66">
        <v>5</v>
      </c>
      <c r="Z144" s="66"/>
      <c r="AA144" s="34">
        <v>0</v>
      </c>
      <c r="AB144" s="34">
        <v>429000</v>
      </c>
      <c r="AC144" s="34">
        <f t="shared" si="26"/>
        <v>463320.00000000006</v>
      </c>
      <c r="AD144" s="66"/>
      <c r="AE144" s="66"/>
      <c r="AF144" s="66"/>
    </row>
    <row r="145" spans="2:32">
      <c r="B145" s="66" t="str">
        <f t="shared" si="27"/>
        <v>BLA002</v>
      </c>
      <c r="C145" s="66" t="str">
        <f t="shared" si="24"/>
        <v>BLA002006</v>
      </c>
      <c r="D145" s="66" t="s">
        <v>236</v>
      </c>
      <c r="E145" s="66" t="s">
        <v>106</v>
      </c>
      <c r="F145" s="66" t="s">
        <v>155</v>
      </c>
      <c r="G145" s="66" t="s">
        <v>248</v>
      </c>
      <c r="H145" s="72" t="s">
        <v>350</v>
      </c>
      <c r="I145" s="66" t="s">
        <v>159</v>
      </c>
      <c r="J145" s="66" t="s">
        <v>254</v>
      </c>
      <c r="K145" s="66" t="str">
        <f t="shared" si="25"/>
        <v>Chăn Tencel 60s Xám xanh dương 200 x 230 cm</v>
      </c>
      <c r="L145" s="66" t="str">
        <f>_xlfn.XLOOKUP(M145,'0. Mã Supplier'!$B:$B,'0. Mã Supplier'!$C:$C,0)</f>
        <v>SUVN0001</v>
      </c>
      <c r="M145" s="66" t="s">
        <v>107</v>
      </c>
      <c r="N145" s="66"/>
      <c r="O145" s="66">
        <v>0</v>
      </c>
      <c r="P145" s="66">
        <v>200</v>
      </c>
      <c r="Q145" s="66">
        <v>230</v>
      </c>
      <c r="R145" s="33">
        <v>2</v>
      </c>
      <c r="S145" s="33">
        <v>2.2000000000000002</v>
      </c>
      <c r="T145" s="66"/>
      <c r="U145" s="66">
        <v>60</v>
      </c>
      <c r="V145" s="33">
        <v>45</v>
      </c>
      <c r="W145" s="66">
        <v>3</v>
      </c>
      <c r="X145" s="66"/>
      <c r="Y145" s="66">
        <v>5</v>
      </c>
      <c r="Z145" s="66"/>
      <c r="AA145" s="34">
        <v>0</v>
      </c>
      <c r="AB145" s="34">
        <v>429000</v>
      </c>
      <c r="AC145" s="34">
        <f t="shared" si="26"/>
        <v>463320.00000000006</v>
      </c>
      <c r="AD145" s="67">
        <f>AB145/(1-0.55)</f>
        <v>953333.33333333337</v>
      </c>
      <c r="AE145" s="66"/>
      <c r="AF145" s="66"/>
    </row>
    <row r="146" spans="2:32">
      <c r="B146" s="66" t="str">
        <f t="shared" si="27"/>
        <v>BLA002</v>
      </c>
      <c r="C146" s="66" t="str">
        <f t="shared" si="24"/>
        <v>BLA002007</v>
      </c>
      <c r="D146" s="66" t="s">
        <v>236</v>
      </c>
      <c r="E146" s="66" t="s">
        <v>106</v>
      </c>
      <c r="F146" s="66" t="s">
        <v>155</v>
      </c>
      <c r="G146" s="66" t="s">
        <v>248</v>
      </c>
      <c r="H146" s="72" t="s">
        <v>350</v>
      </c>
      <c r="I146" s="68" t="s">
        <v>160</v>
      </c>
      <c r="J146" s="66" t="s">
        <v>255</v>
      </c>
      <c r="K146" s="66" t="str">
        <f t="shared" si="25"/>
        <v>Chăn Tencel 60s Xám trắng 200 x 230 cm</v>
      </c>
      <c r="L146" s="66" t="str">
        <f>_xlfn.XLOOKUP(M146,'0. Mã Supplier'!$B:$B,'0. Mã Supplier'!$C:$C,0)</f>
        <v>SUVN0001</v>
      </c>
      <c r="M146" s="66" t="s">
        <v>107</v>
      </c>
      <c r="N146" s="66"/>
      <c r="O146" s="66">
        <v>0</v>
      </c>
      <c r="P146" s="66">
        <v>200</v>
      </c>
      <c r="Q146" s="66">
        <v>230</v>
      </c>
      <c r="R146" s="33">
        <v>2</v>
      </c>
      <c r="S146" s="33">
        <v>2.2000000000000002</v>
      </c>
      <c r="T146" s="66"/>
      <c r="U146" s="66">
        <v>60</v>
      </c>
      <c r="V146" s="33">
        <v>45</v>
      </c>
      <c r="W146" s="66">
        <v>3</v>
      </c>
      <c r="X146" s="66"/>
      <c r="Y146" s="66">
        <v>5</v>
      </c>
      <c r="Z146" s="66"/>
      <c r="AA146" s="34">
        <v>0</v>
      </c>
      <c r="AB146" s="34">
        <v>429000</v>
      </c>
      <c r="AC146" s="34">
        <f t="shared" si="26"/>
        <v>463320.00000000006</v>
      </c>
      <c r="AD146" s="66"/>
      <c r="AE146" s="66"/>
      <c r="AF146" s="66"/>
    </row>
    <row r="147" spans="2:32">
      <c r="B147" s="66" t="str">
        <f t="shared" si="27"/>
        <v>BLA002</v>
      </c>
      <c r="C147" s="66" t="str">
        <f t="shared" si="24"/>
        <v>BLA002008</v>
      </c>
      <c r="D147" s="66" t="s">
        <v>236</v>
      </c>
      <c r="E147" s="66" t="s">
        <v>106</v>
      </c>
      <c r="F147" s="66" t="s">
        <v>155</v>
      </c>
      <c r="G147" s="66" t="s">
        <v>248</v>
      </c>
      <c r="H147" s="72" t="s">
        <v>350</v>
      </c>
      <c r="I147" s="68" t="s">
        <v>161</v>
      </c>
      <c r="J147" s="66" t="s">
        <v>256</v>
      </c>
      <c r="K147" s="66" t="str">
        <f t="shared" si="25"/>
        <v>Chăn Tencel 60s Xám xanh lá 200 x 230 cm</v>
      </c>
      <c r="L147" s="66" t="str">
        <f>_xlfn.XLOOKUP(M147,'0. Mã Supplier'!$B:$B,'0. Mã Supplier'!$C:$C,0)</f>
        <v>SUVN0001</v>
      </c>
      <c r="M147" s="66" t="s">
        <v>107</v>
      </c>
      <c r="N147" s="66"/>
      <c r="O147" s="66">
        <v>0</v>
      </c>
      <c r="P147" s="66">
        <v>200</v>
      </c>
      <c r="Q147" s="66">
        <v>230</v>
      </c>
      <c r="R147" s="33">
        <v>2</v>
      </c>
      <c r="S147" s="33">
        <v>2.2000000000000002</v>
      </c>
      <c r="T147" s="66"/>
      <c r="U147" s="66">
        <v>60</v>
      </c>
      <c r="V147" s="33">
        <v>45</v>
      </c>
      <c r="W147" s="66">
        <v>3</v>
      </c>
      <c r="X147" s="66"/>
      <c r="Y147" s="66">
        <v>5</v>
      </c>
      <c r="Z147" s="66"/>
      <c r="AA147" s="34">
        <v>0</v>
      </c>
      <c r="AB147" s="34">
        <v>429000</v>
      </c>
      <c r="AC147" s="34">
        <f t="shared" si="26"/>
        <v>463320.00000000006</v>
      </c>
      <c r="AD147" s="66"/>
      <c r="AE147" s="66"/>
      <c r="AF147" s="66"/>
    </row>
    <row r="148" spans="2:32">
      <c r="B148" s="66" t="str">
        <f t="shared" si="27"/>
        <v>BLA002</v>
      </c>
      <c r="C148" s="66" t="str">
        <f t="shared" si="24"/>
        <v>BLA002009</v>
      </c>
      <c r="D148" s="66" t="s">
        <v>236</v>
      </c>
      <c r="E148" s="66" t="s">
        <v>106</v>
      </c>
      <c r="F148" s="66" t="s">
        <v>155</v>
      </c>
      <c r="G148" s="66" t="s">
        <v>248</v>
      </c>
      <c r="H148" s="72" t="s">
        <v>350</v>
      </c>
      <c r="I148" s="68" t="s">
        <v>162</v>
      </c>
      <c r="J148" s="66" t="s">
        <v>257</v>
      </c>
      <c r="K148" s="66" t="str">
        <f t="shared" si="25"/>
        <v>Chăn Tencel 60s Màu không phân loại 200 x 230 cm</v>
      </c>
      <c r="L148" s="66" t="str">
        <f>_xlfn.XLOOKUP(M148,'0. Mã Supplier'!$B:$B,'0. Mã Supplier'!$C:$C,0)</f>
        <v>SUVN0001</v>
      </c>
      <c r="M148" s="66" t="s">
        <v>107</v>
      </c>
      <c r="N148" s="66"/>
      <c r="O148" s="66">
        <v>0</v>
      </c>
      <c r="P148" s="66">
        <v>200</v>
      </c>
      <c r="Q148" s="66">
        <v>230</v>
      </c>
      <c r="R148" s="33">
        <v>2</v>
      </c>
      <c r="S148" s="33">
        <v>2.2000000000000002</v>
      </c>
      <c r="T148" s="66"/>
      <c r="U148" s="66">
        <v>60</v>
      </c>
      <c r="V148" s="33">
        <v>45</v>
      </c>
      <c r="W148" s="66">
        <v>3</v>
      </c>
      <c r="X148" s="66"/>
      <c r="Y148" s="66">
        <v>5</v>
      </c>
      <c r="Z148" s="66"/>
      <c r="AA148" s="34">
        <v>0</v>
      </c>
      <c r="AB148" s="34">
        <v>429000</v>
      </c>
      <c r="AC148" s="34">
        <f t="shared" si="26"/>
        <v>463320.00000000006</v>
      </c>
      <c r="AD148" s="66"/>
      <c r="AE148" s="66"/>
      <c r="AF148" s="66"/>
    </row>
    <row r="149" spans="2:32">
      <c r="B149" s="66" t="str">
        <f t="shared" si="27"/>
        <v>BLA003</v>
      </c>
      <c r="C149" s="66" t="str">
        <f t="shared" si="24"/>
        <v>BLA003001</v>
      </c>
      <c r="D149" s="66" t="s">
        <v>236</v>
      </c>
      <c r="E149" s="66" t="s">
        <v>106</v>
      </c>
      <c r="F149" s="66" t="s">
        <v>156</v>
      </c>
      <c r="G149" s="66" t="s">
        <v>258</v>
      </c>
      <c r="H149" s="72">
        <v>0</v>
      </c>
      <c r="I149" s="66" t="s">
        <v>151</v>
      </c>
      <c r="J149" s="66" t="s">
        <v>259</v>
      </c>
      <c r="K149" s="66" t="str">
        <f t="shared" si="25"/>
        <v>Chăn T&amp;N Polyester HQ (chần) Gấu xanh 200 x 230 cm</v>
      </c>
      <c r="L149" s="66" t="str">
        <f>_xlfn.XLOOKUP(M149,'0. Mã Supplier'!$B:$B,'0. Mã Supplier'!$C:$C,0)</f>
        <v>SUVN0004</v>
      </c>
      <c r="M149" s="66" t="s">
        <v>116</v>
      </c>
      <c r="N149" s="66"/>
      <c r="O149" s="66">
        <v>0</v>
      </c>
      <c r="P149" s="66">
        <v>200</v>
      </c>
      <c r="Q149" s="66">
        <v>230</v>
      </c>
      <c r="R149" s="33">
        <v>0</v>
      </c>
      <c r="S149" s="33">
        <v>0</v>
      </c>
      <c r="T149" s="66"/>
      <c r="U149" s="66"/>
      <c r="V149" s="33"/>
      <c r="W149" s="66"/>
      <c r="X149" s="66"/>
      <c r="Y149" s="66">
        <v>5</v>
      </c>
      <c r="Z149" s="66"/>
      <c r="AA149" s="34">
        <v>0</v>
      </c>
      <c r="AB149" s="34">
        <v>204190</v>
      </c>
      <c r="AC149" s="34">
        <f t="shared" si="26"/>
        <v>220525.2</v>
      </c>
      <c r="AD149" s="67">
        <f>AB149/(1-0.55)</f>
        <v>453755.55555555562</v>
      </c>
      <c r="AE149" s="66"/>
      <c r="AF149" s="66"/>
    </row>
    <row r="150" spans="2:32">
      <c r="B150" s="66" t="str">
        <f t="shared" si="27"/>
        <v>BLA003</v>
      </c>
      <c r="C150" s="66" t="str">
        <f t="shared" si="24"/>
        <v>BLA003002</v>
      </c>
      <c r="D150" s="66" t="s">
        <v>236</v>
      </c>
      <c r="E150" s="66" t="s">
        <v>106</v>
      </c>
      <c r="F150" s="66" t="s">
        <v>156</v>
      </c>
      <c r="G150" s="66" t="s">
        <v>258</v>
      </c>
      <c r="H150" s="72">
        <v>0</v>
      </c>
      <c r="I150" s="66" t="s">
        <v>155</v>
      </c>
      <c r="J150" s="66" t="s">
        <v>260</v>
      </c>
      <c r="K150" s="66" t="str">
        <f t="shared" si="25"/>
        <v>Chăn T&amp;N Polyester HQ (chần) Gấu hồng 200 x 230 cm</v>
      </c>
      <c r="L150" s="66" t="str">
        <f>_xlfn.XLOOKUP(M150,'0. Mã Supplier'!$B:$B,'0. Mã Supplier'!$C:$C,0)</f>
        <v>SUVN0004</v>
      </c>
      <c r="M150" s="66" t="s">
        <v>116</v>
      </c>
      <c r="N150" s="66"/>
      <c r="O150" s="66">
        <v>0</v>
      </c>
      <c r="P150" s="66">
        <v>200</v>
      </c>
      <c r="Q150" s="66">
        <v>230</v>
      </c>
      <c r="R150" s="33">
        <v>0</v>
      </c>
      <c r="S150" s="33">
        <v>0</v>
      </c>
      <c r="T150" s="66"/>
      <c r="U150" s="66"/>
      <c r="V150" s="33"/>
      <c r="W150" s="66"/>
      <c r="X150" s="66"/>
      <c r="Y150" s="66">
        <v>5</v>
      </c>
      <c r="Z150" s="66"/>
      <c r="AA150" s="34">
        <v>0</v>
      </c>
      <c r="AB150" s="34">
        <v>204190</v>
      </c>
      <c r="AC150" s="34">
        <f t="shared" si="26"/>
        <v>220525.2</v>
      </c>
      <c r="AD150" s="66"/>
      <c r="AE150" s="66"/>
      <c r="AF150" s="66"/>
    </row>
    <row r="151" spans="2:32">
      <c r="B151" s="66" t="str">
        <f t="shared" si="27"/>
        <v/>
      </c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33">
        <v>0</v>
      </c>
      <c r="S151" s="33">
        <v>0</v>
      </c>
      <c r="T151" s="66"/>
      <c r="U151" s="66"/>
      <c r="V151" s="33">
        <v>0</v>
      </c>
      <c r="W151" s="66"/>
      <c r="X151" s="66"/>
      <c r="Y151" s="66"/>
      <c r="Z151" s="66"/>
      <c r="AA151" s="34"/>
      <c r="AB151" s="34">
        <v>0</v>
      </c>
      <c r="AC151" s="34"/>
      <c r="AD151" s="66"/>
      <c r="AE151" s="66"/>
      <c r="AF151" s="66"/>
    </row>
    <row r="152" spans="2:32">
      <c r="B152" s="66" t="str">
        <f t="shared" si="27"/>
        <v/>
      </c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33">
        <v>0</v>
      </c>
      <c r="S152" s="33">
        <v>0</v>
      </c>
      <c r="T152" s="66"/>
      <c r="U152" s="66"/>
      <c r="V152" s="33">
        <v>0</v>
      </c>
      <c r="W152" s="66"/>
      <c r="X152" s="66"/>
      <c r="Y152" s="66"/>
      <c r="Z152" s="66"/>
      <c r="AA152" s="34"/>
      <c r="AB152" s="34">
        <v>0</v>
      </c>
      <c r="AC152" s="34"/>
      <c r="AD152" s="66"/>
      <c r="AE152" s="66"/>
      <c r="AF152" s="66"/>
    </row>
    <row r="153" spans="2:32">
      <c r="B153" s="66" t="str">
        <f t="shared" si="27"/>
        <v/>
      </c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33">
        <v>0</v>
      </c>
      <c r="S153" s="33">
        <v>0</v>
      </c>
      <c r="T153" s="66"/>
      <c r="U153" s="66"/>
      <c r="V153" s="33">
        <v>0</v>
      </c>
      <c r="W153" s="66"/>
      <c r="X153" s="66"/>
      <c r="Y153" s="66"/>
      <c r="Z153" s="66"/>
      <c r="AA153" s="34"/>
      <c r="AB153" s="34">
        <v>0</v>
      </c>
      <c r="AC153" s="34"/>
      <c r="AD153" s="66"/>
      <c r="AE153" s="66"/>
      <c r="AF153" s="66"/>
    </row>
    <row r="154" spans="2:32">
      <c r="B154" s="66" t="str">
        <f t="shared" si="27"/>
        <v/>
      </c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33">
        <v>0</v>
      </c>
      <c r="S154" s="33">
        <v>0</v>
      </c>
      <c r="T154" s="66"/>
      <c r="U154" s="66"/>
      <c r="V154" s="33">
        <v>0</v>
      </c>
      <c r="W154" s="66"/>
      <c r="X154" s="66"/>
      <c r="Y154" s="66"/>
      <c r="Z154" s="66"/>
      <c r="AA154" s="34"/>
      <c r="AB154" s="34">
        <v>0</v>
      </c>
      <c r="AC154" s="34"/>
      <c r="AD154" s="66"/>
      <c r="AE154" s="66"/>
      <c r="AF154" s="66"/>
    </row>
    <row r="155" spans="2:32">
      <c r="B155" s="66" t="str">
        <f t="shared" si="27"/>
        <v/>
      </c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33">
        <v>0</v>
      </c>
      <c r="S155" s="33">
        <v>0</v>
      </c>
      <c r="T155" s="66"/>
      <c r="U155" s="66"/>
      <c r="V155" s="33">
        <v>0</v>
      </c>
      <c r="W155" s="66"/>
      <c r="X155" s="66"/>
      <c r="Y155" s="66"/>
      <c r="Z155" s="66"/>
      <c r="AA155" s="34"/>
      <c r="AB155" s="34">
        <v>0</v>
      </c>
      <c r="AC155" s="34"/>
      <c r="AD155" s="66"/>
      <c r="AE155" s="66"/>
      <c r="AF155" s="66"/>
    </row>
    <row r="156" spans="2:32">
      <c r="B156" s="66" t="str">
        <f t="shared" si="27"/>
        <v/>
      </c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33">
        <v>0</v>
      </c>
      <c r="S156" s="33">
        <v>0</v>
      </c>
      <c r="T156" s="66"/>
      <c r="U156" s="66"/>
      <c r="V156" s="33">
        <v>0</v>
      </c>
      <c r="W156" s="66"/>
      <c r="X156" s="66"/>
      <c r="Y156" s="66"/>
      <c r="Z156" s="66"/>
      <c r="AA156" s="34"/>
      <c r="AB156" s="34">
        <v>0</v>
      </c>
      <c r="AC156" s="34"/>
      <c r="AD156" s="66"/>
      <c r="AE156" s="66"/>
      <c r="AF156" s="66"/>
    </row>
    <row r="157" spans="2:32">
      <c r="B157" s="66" t="str">
        <f t="shared" si="27"/>
        <v/>
      </c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33">
        <v>0</v>
      </c>
      <c r="S157" s="33">
        <v>0</v>
      </c>
      <c r="T157" s="66"/>
      <c r="U157" s="66"/>
      <c r="V157" s="33">
        <v>0</v>
      </c>
      <c r="W157" s="66"/>
      <c r="X157" s="66"/>
      <c r="Y157" s="66"/>
      <c r="Z157" s="66"/>
      <c r="AA157" s="34"/>
      <c r="AB157" s="34">
        <v>0</v>
      </c>
      <c r="AC157" s="34"/>
      <c r="AD157" s="66"/>
      <c r="AE157" s="66"/>
      <c r="AF157" s="66"/>
    </row>
    <row r="158" spans="2:32">
      <c r="B158" s="66" t="str">
        <f t="shared" si="27"/>
        <v/>
      </c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33">
        <v>0</v>
      </c>
      <c r="S158" s="33">
        <v>0</v>
      </c>
      <c r="T158" s="66"/>
      <c r="U158" s="66"/>
      <c r="V158" s="33">
        <v>0</v>
      </c>
      <c r="W158" s="66"/>
      <c r="X158" s="66"/>
      <c r="Y158" s="66"/>
      <c r="Z158" s="66"/>
      <c r="AA158" s="34"/>
      <c r="AB158" s="34">
        <v>0</v>
      </c>
      <c r="AC158" s="34"/>
      <c r="AD158" s="66"/>
      <c r="AE158" s="66"/>
      <c r="AF158" s="66"/>
    </row>
    <row r="159" spans="2:32"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34"/>
      <c r="AB159" s="34"/>
      <c r="AC159" s="34"/>
      <c r="AD159" s="66"/>
      <c r="AE159" s="66"/>
      <c r="AF159" s="66"/>
    </row>
    <row r="160" spans="2:32"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34"/>
      <c r="AB160" s="34"/>
      <c r="AC160" s="34"/>
      <c r="AD160" s="66"/>
      <c r="AE160" s="66"/>
      <c r="AF160" s="66"/>
    </row>
    <row r="161" spans="2:32"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34"/>
      <c r="AB161" s="34"/>
      <c r="AC161" s="34"/>
      <c r="AD161" s="66"/>
      <c r="AE161" s="66"/>
      <c r="AF161" s="66"/>
    </row>
    <row r="162" spans="2:32"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34"/>
      <c r="AB162" s="34"/>
      <c r="AC162" s="34"/>
      <c r="AD162" s="66"/>
      <c r="AE162" s="66"/>
      <c r="AF162" s="66"/>
    </row>
    <row r="163" spans="2:32"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34"/>
      <c r="AB163" s="34"/>
      <c r="AC163" s="34"/>
      <c r="AD163" s="66"/>
      <c r="AE163" s="66"/>
      <c r="AF163" s="66"/>
    </row>
    <row r="164" spans="2:32"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  <c r="AA164" s="34"/>
      <c r="AB164" s="34"/>
      <c r="AC164" s="34"/>
      <c r="AD164" s="66"/>
      <c r="AE164" s="66"/>
      <c r="AF164" s="66"/>
    </row>
    <row r="165" spans="2:32"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  <c r="AA165" s="34"/>
      <c r="AB165" s="34"/>
      <c r="AC165" s="34"/>
      <c r="AD165" s="66"/>
      <c r="AE165" s="66"/>
      <c r="AF165" s="66"/>
    </row>
    <row r="166" spans="2:32"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  <c r="AA166" s="34"/>
      <c r="AB166" s="34"/>
      <c r="AC166" s="34"/>
      <c r="AD166" s="66"/>
      <c r="AE166" s="66"/>
      <c r="AF166" s="66"/>
    </row>
    <row r="167" spans="2:32"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  <c r="AA167" s="34"/>
      <c r="AB167" s="34"/>
      <c r="AC167" s="34"/>
      <c r="AD167" s="66"/>
      <c r="AE167" s="66"/>
      <c r="AF167" s="66"/>
    </row>
    <row r="168" spans="2:32"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34"/>
      <c r="AB168" s="34"/>
      <c r="AC168" s="34"/>
      <c r="AD168" s="66"/>
      <c r="AE168" s="66"/>
      <c r="AF168" s="66"/>
    </row>
    <row r="169" spans="2:32"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34"/>
      <c r="AB169" s="34"/>
      <c r="AC169" s="34"/>
      <c r="AD169" s="66"/>
      <c r="AE169" s="66"/>
      <c r="AF169" s="66"/>
    </row>
    <row r="170" spans="2:32"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34"/>
      <c r="AB170" s="34"/>
      <c r="AC170" s="34"/>
      <c r="AD170" s="66"/>
      <c r="AE170" s="66"/>
      <c r="AF170" s="66"/>
    </row>
    <row r="171" spans="2:32"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34"/>
      <c r="AB171" s="34"/>
      <c r="AC171" s="34"/>
      <c r="AD171" s="66"/>
      <c r="AE171" s="66"/>
      <c r="AF171" s="66"/>
    </row>
    <row r="172" spans="2:32"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34"/>
      <c r="AB172" s="34"/>
      <c r="AC172" s="34"/>
      <c r="AD172" s="66"/>
      <c r="AE172" s="66"/>
      <c r="AF172" s="66"/>
    </row>
    <row r="173" spans="2:32"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34"/>
      <c r="AB173" s="34"/>
      <c r="AC173" s="34"/>
      <c r="AD173" s="66"/>
      <c r="AE173" s="66"/>
      <c r="AF173" s="66"/>
    </row>
    <row r="174" spans="2:32"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34"/>
      <c r="AB174" s="34"/>
      <c r="AC174" s="34"/>
      <c r="AD174" s="66"/>
      <c r="AE174" s="66"/>
      <c r="AF174" s="66"/>
    </row>
    <row r="175" spans="2:32"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  <c r="AA175" s="34"/>
      <c r="AB175" s="34"/>
      <c r="AC175" s="34"/>
      <c r="AD175" s="66"/>
      <c r="AE175" s="66"/>
      <c r="AF175" s="66"/>
    </row>
    <row r="176" spans="2:32"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34"/>
      <c r="AB176" s="34"/>
      <c r="AC176" s="34"/>
      <c r="AD176" s="66"/>
      <c r="AE176" s="66"/>
      <c r="AF176" s="66"/>
    </row>
    <row r="177" spans="2:32"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34"/>
      <c r="AB177" s="34"/>
      <c r="AC177" s="34"/>
      <c r="AD177" s="66"/>
      <c r="AE177" s="66"/>
      <c r="AF177" s="66"/>
    </row>
    <row r="178" spans="2:32"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34"/>
      <c r="AB178" s="34"/>
      <c r="AC178" s="34"/>
      <c r="AD178" s="66"/>
      <c r="AE178" s="66"/>
      <c r="AF178" s="66"/>
    </row>
    <row r="179" spans="2:32"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34"/>
      <c r="AB179" s="34"/>
      <c r="AC179" s="34"/>
      <c r="AD179" s="66"/>
      <c r="AE179" s="66"/>
      <c r="AF179" s="66"/>
    </row>
    <row r="180" spans="2:32"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  <c r="AA180" s="34"/>
      <c r="AB180" s="34"/>
      <c r="AC180" s="34"/>
      <c r="AD180" s="66"/>
      <c r="AE180" s="66"/>
      <c r="AF180" s="66"/>
    </row>
    <row r="181" spans="2:32"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  <c r="AA181" s="34"/>
      <c r="AB181" s="34"/>
      <c r="AC181" s="34"/>
      <c r="AD181" s="66"/>
      <c r="AE181" s="66"/>
      <c r="AF181" s="66"/>
    </row>
    <row r="182" spans="2:32"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  <c r="AA182" s="34"/>
      <c r="AB182" s="34"/>
      <c r="AC182" s="34"/>
      <c r="AD182" s="66"/>
      <c r="AE182" s="66"/>
      <c r="AF182" s="66"/>
    </row>
    <row r="183" spans="2:32"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  <c r="AA183" s="34"/>
      <c r="AB183" s="34"/>
      <c r="AC183" s="34"/>
      <c r="AD183" s="66"/>
      <c r="AE183" s="66"/>
      <c r="AF183" s="66"/>
    </row>
    <row r="184" spans="2:32"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  <c r="AA184" s="34"/>
      <c r="AB184" s="34"/>
      <c r="AC184" s="34"/>
      <c r="AD184" s="66"/>
      <c r="AE184" s="66"/>
      <c r="AF184" s="66"/>
    </row>
    <row r="185" spans="2:32"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34"/>
      <c r="AB185" s="34"/>
      <c r="AC185" s="34"/>
      <c r="AD185" s="66"/>
      <c r="AE185" s="66"/>
      <c r="AF185" s="66"/>
    </row>
  </sheetData>
  <autoFilter ref="B7:AF158" xr:uid="{9F535E4B-FEC6-5B41-9FF3-B0B6ED434DFD}"/>
  <phoneticPr fontId="3" type="noConversion"/>
  <conditionalFormatting sqref="B186:B1048576 B1:B7">
    <cfRule type="duplicateValues" dxfId="2" priority="1"/>
  </conditionalFormatting>
  <conditionalFormatting sqref="C186:C1048576 C1:C7">
    <cfRule type="duplicateValues" dxfId="1" priority="2"/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8D9B403-5B53-4D10-8B91-13498193DEB3}">
          <x14:formula1>
            <xm:f>'0. Mã Supplier'!$B$6:$B$28</xm:f>
          </x14:formula1>
          <xm:sqref>M1:M1048576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8287D-CB7A-4E41-BBEA-707DEF734995}">
  <sheetPr codeName="Sheet12"/>
  <dimension ref="A1:AD183"/>
  <sheetViews>
    <sheetView zoomScale="90" zoomScaleNormal="115" workbookViewId="0">
      <pane ySplit="1" topLeftCell="A153" activePane="bottomLeft" state="frozen"/>
      <selection pane="bottomLeft" activeCell="D191" sqref="D191"/>
    </sheetView>
  </sheetViews>
  <sheetFormatPr baseColWidth="10" defaultColWidth="8.83203125" defaultRowHeight="15"/>
  <cols>
    <col min="1" max="1" width="10.6640625" bestFit="1" customWidth="1"/>
    <col min="2" max="2" width="10.83203125" bestFit="1" customWidth="1"/>
    <col min="3" max="3" width="62.33203125" bestFit="1" customWidth="1"/>
    <col min="4" max="4" width="15.83203125" bestFit="1" customWidth="1"/>
    <col min="5" max="5" width="22.5" bestFit="1" customWidth="1"/>
    <col min="6" max="6" width="8" bestFit="1" customWidth="1"/>
    <col min="7" max="7" width="13.6640625" bestFit="1" customWidth="1"/>
    <col min="8" max="8" width="15.83203125" style="1" bestFit="1" customWidth="1"/>
    <col min="9" max="9" width="10.5" style="1" bestFit="1" customWidth="1"/>
    <col min="10" max="11" width="13.33203125" style="1" bestFit="1" customWidth="1"/>
    <col min="12" max="12" width="15.6640625" bestFit="1" customWidth="1"/>
    <col min="13" max="13" width="22" bestFit="1" customWidth="1"/>
    <col min="14" max="14" width="15.5" bestFit="1" customWidth="1"/>
    <col min="15" max="15" width="12.33203125" bestFit="1" customWidth="1"/>
    <col min="16" max="16" width="9.83203125" bestFit="1" customWidth="1"/>
    <col min="17" max="17" width="8.1640625" bestFit="1" customWidth="1"/>
    <col min="18" max="18" width="22.1640625" bestFit="1" customWidth="1"/>
    <col min="19" max="19" width="8.5" bestFit="1" customWidth="1"/>
    <col min="20" max="20" width="15" style="42" bestFit="1" customWidth="1"/>
    <col min="21" max="21" width="17.83203125" bestFit="1" customWidth="1"/>
    <col min="22" max="22" width="12.5" style="53" bestFit="1" customWidth="1"/>
    <col min="23" max="23" width="13.33203125" style="53" bestFit="1" customWidth="1"/>
    <col min="24" max="24" width="13.6640625" style="44" bestFit="1" customWidth="1"/>
    <col min="25" max="25" width="12.1640625" style="44" bestFit="1" customWidth="1"/>
    <col min="26" max="26" width="17.6640625" bestFit="1" customWidth="1"/>
    <col min="27" max="27" width="16.5" bestFit="1" customWidth="1"/>
    <col min="28" max="28" width="17" style="1" bestFit="1" customWidth="1"/>
    <col min="29" max="29" width="17.33203125" style="46" bestFit="1" customWidth="1"/>
    <col min="30" max="30" width="22.83203125" bestFit="1" customWidth="1"/>
    <col min="31" max="31" width="9" customWidth="1"/>
  </cols>
  <sheetData>
    <row r="1" spans="1:30" ht="37.5" customHeight="1">
      <c r="A1" s="3" t="s">
        <v>262</v>
      </c>
      <c r="B1" s="3" t="s">
        <v>263</v>
      </c>
      <c r="C1" s="3" t="s">
        <v>264</v>
      </c>
      <c r="D1" s="3" t="s">
        <v>265</v>
      </c>
      <c r="E1" s="3" t="s">
        <v>266</v>
      </c>
      <c r="F1" s="3" t="s">
        <v>267</v>
      </c>
      <c r="G1" s="31" t="s">
        <v>268</v>
      </c>
      <c r="H1" s="31" t="s">
        <v>269</v>
      </c>
      <c r="I1" s="31" t="s">
        <v>89</v>
      </c>
      <c r="J1" s="48" t="s">
        <v>270</v>
      </c>
      <c r="K1" s="48" t="s">
        <v>271</v>
      </c>
      <c r="L1" s="3" t="s">
        <v>272</v>
      </c>
      <c r="M1" s="3" t="s">
        <v>273</v>
      </c>
      <c r="N1" s="3" t="s">
        <v>274</v>
      </c>
      <c r="O1" s="3" t="s">
        <v>4</v>
      </c>
      <c r="P1" s="3" t="s">
        <v>275</v>
      </c>
      <c r="Q1" s="3" t="s">
        <v>276</v>
      </c>
      <c r="R1" s="3" t="s">
        <v>277</v>
      </c>
      <c r="S1" s="3" t="s">
        <v>278</v>
      </c>
      <c r="T1" s="41" t="s">
        <v>279</v>
      </c>
      <c r="U1" s="3" t="s">
        <v>280</v>
      </c>
      <c r="V1" s="52" t="s">
        <v>281</v>
      </c>
      <c r="W1" s="52" t="s">
        <v>282</v>
      </c>
      <c r="X1" s="41" t="s">
        <v>283</v>
      </c>
      <c r="Y1" s="41" t="s">
        <v>284</v>
      </c>
      <c r="Z1" s="3" t="s">
        <v>285</v>
      </c>
      <c r="AA1" s="3" t="s">
        <v>286</v>
      </c>
      <c r="AB1" s="31" t="s">
        <v>287</v>
      </c>
      <c r="AC1" s="70" t="s">
        <v>332</v>
      </c>
      <c r="AD1" s="3" t="s">
        <v>288</v>
      </c>
    </row>
    <row r="2" spans="1:30">
      <c r="A2" t="s">
        <v>289</v>
      </c>
      <c r="B2" t="s">
        <v>19</v>
      </c>
      <c r="C2" t="str">
        <f>VLOOKUP(B2,'1. Master Data'!$C:$K,9,0)</f>
        <v>Nệm Power X Core 120 x 200 x 15 cm</v>
      </c>
      <c r="E2" t="s">
        <v>120</v>
      </c>
      <c r="F2" t="s">
        <v>290</v>
      </c>
      <c r="G2">
        <v>10</v>
      </c>
      <c r="H2" s="32">
        <v>10</v>
      </c>
      <c r="I2" s="1">
        <f>VLOOKUP($B2,'1. Master Data'!$C:$AB,26,0)</f>
        <v>1527868.9991895419</v>
      </c>
      <c r="J2" s="1">
        <f>I2*H2</f>
        <v>15278689.991895419</v>
      </c>
      <c r="K2" s="1">
        <f>J2*1.08</f>
        <v>16500985.191247053</v>
      </c>
      <c r="N2" s="24">
        <v>45879</v>
      </c>
      <c r="O2" s="54">
        <f>N2-L2</f>
        <v>45879</v>
      </c>
      <c r="P2">
        <f t="shared" ref="P2" si="0">MONTH(N2)</f>
        <v>8</v>
      </c>
      <c r="Q2">
        <f t="shared" ref="Q2" si="1">YEAR(N2)</f>
        <v>2025</v>
      </c>
      <c r="R2" t="s">
        <v>291</v>
      </c>
      <c r="T2" s="43">
        <v>45887</v>
      </c>
      <c r="U2">
        <f>VLOOKUP($E2,'0. Mã Supplier'!$B:$F,5,0)</f>
        <v>180</v>
      </c>
      <c r="V2" s="53">
        <f t="shared" ref="V2:V65" si="2">T2+U2</f>
        <v>46067</v>
      </c>
      <c r="W2" s="56">
        <f>WEEKNUM(V2)</f>
        <v>7</v>
      </c>
      <c r="X2" s="47">
        <f t="shared" ref="X2" si="3">IF(V2&lt;&gt;0,MONTH(V2),"")</f>
        <v>2</v>
      </c>
      <c r="Y2" s="47">
        <f>YEAR(V2)</f>
        <v>2026</v>
      </c>
      <c r="AA2" s="45">
        <f ca="1">IF(Z2="yes",0,TODAY()-V2)</f>
        <v>197</v>
      </c>
      <c r="AB2" s="1" t="b">
        <f t="shared" ref="AB2:AB33" si="4">IF(Z2="Yes",K2)</f>
        <v>0</v>
      </c>
      <c r="AD2" s="2">
        <f>IFERROR(K2-AB2,0)</f>
        <v>16500985.191247053</v>
      </c>
    </row>
    <row r="3" spans="1:30">
      <c r="A3" t="s">
        <v>289</v>
      </c>
      <c r="B3" t="s">
        <v>20</v>
      </c>
      <c r="C3" t="str">
        <f>VLOOKUP(B3,'1. Master Data'!$C:$K,9,0)</f>
        <v>Nệm Power X Core 140 x 200 x 15 cm</v>
      </c>
      <c r="E3" t="s">
        <v>120</v>
      </c>
      <c r="F3" t="s">
        <v>290</v>
      </c>
      <c r="G3">
        <v>4</v>
      </c>
      <c r="H3" s="1">
        <v>4</v>
      </c>
      <c r="I3" s="1">
        <f>VLOOKUP($B3,'1. Master Data'!$C:$AB,26,0)</f>
        <v>1719112.0303129076</v>
      </c>
      <c r="J3" s="1">
        <f t="shared" ref="J3:J67" si="5">I3*H3</f>
        <v>6876448.1212516306</v>
      </c>
      <c r="K3" s="1">
        <f t="shared" ref="K3:K67" si="6">J3*1.08</f>
        <v>7426563.9709517611</v>
      </c>
      <c r="N3" s="24">
        <v>45879</v>
      </c>
      <c r="O3" s="54">
        <f t="shared" ref="O3:O66" si="7">N3-L3</f>
        <v>45879</v>
      </c>
      <c r="P3">
        <f t="shared" ref="P3:P27" si="8">MONTH(N3)</f>
        <v>8</v>
      </c>
      <c r="Q3">
        <f t="shared" ref="Q3:Q27" si="9">YEAR(N3)</f>
        <v>2025</v>
      </c>
      <c r="R3" t="s">
        <v>291</v>
      </c>
      <c r="T3" s="43">
        <v>45887</v>
      </c>
      <c r="U3">
        <f>VLOOKUP($E3,'0. Mã Supplier'!$B:$F,5,0)</f>
        <v>180</v>
      </c>
      <c r="V3" s="53">
        <f t="shared" si="2"/>
        <v>46067</v>
      </c>
      <c r="W3" s="56">
        <f t="shared" ref="W3:W66" si="10">WEEKNUM(V3)</f>
        <v>7</v>
      </c>
      <c r="X3" s="47">
        <f t="shared" ref="X3:X27" si="11">IF(V3&lt;&gt;0,MONTH(V3),"")</f>
        <v>2</v>
      </c>
      <c r="Y3" s="47">
        <f t="shared" ref="Y3:Y66" si="12">YEAR(V3)</f>
        <v>2026</v>
      </c>
      <c r="AA3" s="45">
        <f t="shared" ref="AA3:AA66" ca="1" si="13">IF(Z3="yes",0,TODAY()-V3)</f>
        <v>197</v>
      </c>
      <c r="AB3" s="1" t="b">
        <f t="shared" si="4"/>
        <v>0</v>
      </c>
      <c r="AD3" s="2">
        <f t="shared" ref="AD3:AD66" si="14">IFERROR(K3-AB3,0)</f>
        <v>7426563.9709517611</v>
      </c>
    </row>
    <row r="4" spans="1:30">
      <c r="A4" t="s">
        <v>289</v>
      </c>
      <c r="B4" t="s">
        <v>21</v>
      </c>
      <c r="C4" t="str">
        <f>VLOOKUP(B4,'1. Master Data'!$C:$K,9,0)</f>
        <v>Nệm Power X Core 160 x 200 x 15 cm</v>
      </c>
      <c r="E4" t="s">
        <v>120</v>
      </c>
      <c r="F4" t="s">
        <v>290</v>
      </c>
      <c r="G4">
        <v>56</v>
      </c>
      <c r="H4" s="1">
        <v>56</v>
      </c>
      <c r="I4" s="1">
        <f>VLOOKUP($B4,'1. Master Data'!$C:$AB,26,0)</f>
        <v>1902549.0614362736</v>
      </c>
      <c r="J4" s="1">
        <f t="shared" si="5"/>
        <v>106542747.44043133</v>
      </c>
      <c r="K4" s="1">
        <f t="shared" si="6"/>
        <v>115066167.23566584</v>
      </c>
      <c r="N4" s="24">
        <v>45879</v>
      </c>
      <c r="O4" s="54">
        <f t="shared" si="7"/>
        <v>45879</v>
      </c>
      <c r="P4">
        <f t="shared" si="8"/>
        <v>8</v>
      </c>
      <c r="Q4">
        <f t="shared" si="9"/>
        <v>2025</v>
      </c>
      <c r="R4" t="s">
        <v>291</v>
      </c>
      <c r="T4" s="43">
        <v>45887</v>
      </c>
      <c r="U4">
        <f>VLOOKUP($E4,'0. Mã Supplier'!$B:$F,5,0)</f>
        <v>180</v>
      </c>
      <c r="V4" s="53">
        <f t="shared" si="2"/>
        <v>46067</v>
      </c>
      <c r="W4" s="56">
        <f t="shared" si="10"/>
        <v>7</v>
      </c>
      <c r="X4" s="47">
        <f t="shared" si="11"/>
        <v>2</v>
      </c>
      <c r="Y4" s="47">
        <f t="shared" si="12"/>
        <v>2026</v>
      </c>
      <c r="AA4" s="45">
        <f t="shared" ca="1" si="13"/>
        <v>197</v>
      </c>
      <c r="AB4" s="1" t="b">
        <f t="shared" si="4"/>
        <v>0</v>
      </c>
      <c r="AD4" s="2">
        <f t="shared" si="14"/>
        <v>115066167.23566584</v>
      </c>
    </row>
    <row r="5" spans="1:30">
      <c r="A5" t="s">
        <v>289</v>
      </c>
      <c r="B5" t="s">
        <v>22</v>
      </c>
      <c r="C5" t="str">
        <f>VLOOKUP(B5,'1. Master Data'!$C:$K,9,0)</f>
        <v>Nệm Power X Core 180 x 200 x 15 cm</v>
      </c>
      <c r="E5" t="s">
        <v>120</v>
      </c>
      <c r="F5" t="s">
        <v>290</v>
      </c>
      <c r="G5">
        <v>44</v>
      </c>
      <c r="H5" s="1">
        <v>44</v>
      </c>
      <c r="I5" s="1">
        <f>VLOOKUP($B5,'1. Master Data'!$C:$AB,26,0)</f>
        <v>2085986.0925596396</v>
      </c>
      <c r="J5" s="1">
        <f t="shared" si="5"/>
        <v>91783388.072624147</v>
      </c>
      <c r="K5" s="1">
        <f t="shared" si="6"/>
        <v>99126059.118434086</v>
      </c>
      <c r="N5" s="24">
        <v>45879</v>
      </c>
      <c r="O5" s="54">
        <f t="shared" si="7"/>
        <v>45879</v>
      </c>
      <c r="P5">
        <f t="shared" si="8"/>
        <v>8</v>
      </c>
      <c r="Q5">
        <f t="shared" si="9"/>
        <v>2025</v>
      </c>
      <c r="R5" t="s">
        <v>291</v>
      </c>
      <c r="T5" s="43">
        <v>45887</v>
      </c>
      <c r="U5">
        <f>VLOOKUP($E5,'0. Mã Supplier'!$B:$F,5,0)</f>
        <v>180</v>
      </c>
      <c r="V5" s="53">
        <f t="shared" si="2"/>
        <v>46067</v>
      </c>
      <c r="W5" s="56">
        <f t="shared" si="10"/>
        <v>7</v>
      </c>
      <c r="X5" s="47">
        <f t="shared" si="11"/>
        <v>2</v>
      </c>
      <c r="Y5" s="47">
        <f t="shared" si="12"/>
        <v>2026</v>
      </c>
      <c r="AA5" s="45">
        <f t="shared" ca="1" si="13"/>
        <v>197</v>
      </c>
      <c r="AB5" s="1" t="b">
        <f t="shared" si="4"/>
        <v>0</v>
      </c>
      <c r="AD5" s="2">
        <f t="shared" si="14"/>
        <v>99126059.118434086</v>
      </c>
    </row>
    <row r="6" spans="1:30">
      <c r="A6" t="s">
        <v>289</v>
      </c>
      <c r="B6" t="s">
        <v>23</v>
      </c>
      <c r="C6" t="str">
        <f>VLOOKUP(B6,'1. Master Data'!$C:$K,9,0)</f>
        <v>Nệm Power X Core 200 x 220 x 15 cm</v>
      </c>
      <c r="E6" t="s">
        <v>120</v>
      </c>
      <c r="F6" t="s">
        <v>290</v>
      </c>
      <c r="G6">
        <v>6</v>
      </c>
      <c r="H6" s="1">
        <v>6</v>
      </c>
      <c r="I6" s="1">
        <f>VLOOKUP($B6,'1. Master Data'!$C:$AB,26,0)</f>
        <v>2415915.7236830057</v>
      </c>
      <c r="J6" s="1">
        <f t="shared" si="5"/>
        <v>14495494.342098035</v>
      </c>
      <c r="K6" s="1">
        <f t="shared" si="6"/>
        <v>15655133.88946588</v>
      </c>
      <c r="N6" s="24">
        <v>45879</v>
      </c>
      <c r="O6" s="54">
        <f t="shared" si="7"/>
        <v>45879</v>
      </c>
      <c r="P6">
        <f t="shared" si="8"/>
        <v>8</v>
      </c>
      <c r="Q6">
        <f t="shared" si="9"/>
        <v>2025</v>
      </c>
      <c r="R6" t="s">
        <v>291</v>
      </c>
      <c r="T6" s="43">
        <v>45887</v>
      </c>
      <c r="U6">
        <f>VLOOKUP($E6,'0. Mã Supplier'!$B:$F,5,0)</f>
        <v>180</v>
      </c>
      <c r="V6" s="53">
        <f t="shared" si="2"/>
        <v>46067</v>
      </c>
      <c r="W6" s="56">
        <f t="shared" si="10"/>
        <v>7</v>
      </c>
      <c r="X6" s="47">
        <f t="shared" si="11"/>
        <v>2</v>
      </c>
      <c r="Y6" s="47">
        <f t="shared" si="12"/>
        <v>2026</v>
      </c>
      <c r="AA6" s="45">
        <f t="shared" ca="1" si="13"/>
        <v>197</v>
      </c>
      <c r="AB6" s="1" t="b">
        <f t="shared" si="4"/>
        <v>0</v>
      </c>
      <c r="AD6" s="2">
        <f t="shared" si="14"/>
        <v>15655133.88946588</v>
      </c>
    </row>
    <row r="7" spans="1:30">
      <c r="A7" t="s">
        <v>289</v>
      </c>
      <c r="B7" t="s">
        <v>21</v>
      </c>
      <c r="C7" t="str">
        <f>VLOOKUP(B7,'1. Master Data'!$C:$K,9,0)</f>
        <v>Nệm Power X Core 160 x 200 x 15 cm</v>
      </c>
      <c r="E7" t="s">
        <v>120</v>
      </c>
      <c r="F7" t="s">
        <v>290</v>
      </c>
      <c r="G7">
        <v>1</v>
      </c>
      <c r="H7" s="1">
        <v>1</v>
      </c>
      <c r="I7" s="1">
        <f>VLOOKUP($B7,'1. Master Data'!$C:$AB,26,0)</f>
        <v>1902549.0614362736</v>
      </c>
      <c r="J7" s="1">
        <f t="shared" si="5"/>
        <v>1902549.0614362736</v>
      </c>
      <c r="K7" s="1">
        <f t="shared" si="6"/>
        <v>2054752.9863511757</v>
      </c>
      <c r="N7" s="24">
        <v>45879</v>
      </c>
      <c r="O7" s="54">
        <f t="shared" si="7"/>
        <v>45879</v>
      </c>
      <c r="P7">
        <f t="shared" si="8"/>
        <v>8</v>
      </c>
      <c r="Q7">
        <f t="shared" si="9"/>
        <v>2025</v>
      </c>
      <c r="R7" t="s">
        <v>291</v>
      </c>
      <c r="T7" s="43">
        <v>45887</v>
      </c>
      <c r="U7">
        <f>VLOOKUP($E7,'0. Mã Supplier'!$B:$F,5,0)</f>
        <v>180</v>
      </c>
      <c r="V7" s="53">
        <f t="shared" si="2"/>
        <v>46067</v>
      </c>
      <c r="W7" s="56">
        <f t="shared" si="10"/>
        <v>7</v>
      </c>
      <c r="X7" s="47">
        <f t="shared" si="11"/>
        <v>2</v>
      </c>
      <c r="Y7" s="47">
        <f t="shared" si="12"/>
        <v>2026</v>
      </c>
      <c r="AA7" s="45">
        <f t="shared" ca="1" si="13"/>
        <v>197</v>
      </c>
      <c r="AB7" s="1" t="b">
        <f t="shared" si="4"/>
        <v>0</v>
      </c>
      <c r="AD7" s="2">
        <f t="shared" si="14"/>
        <v>2054752.9863511757</v>
      </c>
    </row>
    <row r="8" spans="1:30">
      <c r="A8" t="s">
        <v>289</v>
      </c>
      <c r="B8" t="s">
        <v>24</v>
      </c>
      <c r="C8" t="str">
        <f>VLOOKUP(B8,'1. Master Data'!$C:$K,9,0)</f>
        <v>Nệm Power X Flow 120 x 200 x 22 cm</v>
      </c>
      <c r="E8" t="s">
        <v>120</v>
      </c>
      <c r="F8" t="s">
        <v>290</v>
      </c>
      <c r="G8">
        <v>1</v>
      </c>
      <c r="H8" s="1">
        <v>1</v>
      </c>
      <c r="I8" s="1">
        <f>VLOOKUP($B8,'1. Master Data'!$C:$AB,26,0)</f>
        <v>2135393.5988329402</v>
      </c>
      <c r="J8" s="1">
        <f t="shared" si="5"/>
        <v>2135393.5988329402</v>
      </c>
      <c r="K8" s="1">
        <f t="shared" si="6"/>
        <v>2306225.0867395755</v>
      </c>
      <c r="N8" s="24">
        <v>45879</v>
      </c>
      <c r="O8" s="54">
        <f t="shared" si="7"/>
        <v>45879</v>
      </c>
      <c r="P8">
        <f t="shared" si="8"/>
        <v>8</v>
      </c>
      <c r="Q8">
        <f t="shared" si="9"/>
        <v>2025</v>
      </c>
      <c r="R8" t="s">
        <v>291</v>
      </c>
      <c r="T8" s="43">
        <v>45887</v>
      </c>
      <c r="U8">
        <f>VLOOKUP($E8,'0. Mã Supplier'!$B:$F,5,0)</f>
        <v>180</v>
      </c>
      <c r="V8" s="53">
        <f t="shared" si="2"/>
        <v>46067</v>
      </c>
      <c r="W8" s="56">
        <f t="shared" si="10"/>
        <v>7</v>
      </c>
      <c r="X8" s="47">
        <f t="shared" si="11"/>
        <v>2</v>
      </c>
      <c r="Y8" s="47">
        <f t="shared" si="12"/>
        <v>2026</v>
      </c>
      <c r="AA8" s="45">
        <f t="shared" ca="1" si="13"/>
        <v>197</v>
      </c>
      <c r="AB8" s="1" t="b">
        <f t="shared" si="4"/>
        <v>0</v>
      </c>
      <c r="AD8" s="2">
        <f t="shared" si="14"/>
        <v>2306225.0867395755</v>
      </c>
    </row>
    <row r="9" spans="1:30">
      <c r="A9" t="s">
        <v>289</v>
      </c>
      <c r="B9" t="s">
        <v>25</v>
      </c>
      <c r="C9" t="str">
        <f>VLOOKUP(B9,'1. Master Data'!$C:$K,9,0)</f>
        <v>Nệm Power X Flow 140 x 200 x 22 cm</v>
      </c>
      <c r="E9" t="s">
        <v>120</v>
      </c>
      <c r="F9" t="s">
        <v>290</v>
      </c>
      <c r="G9">
        <v>1</v>
      </c>
      <c r="H9" s="1">
        <v>1</v>
      </c>
      <c r="I9" s="1">
        <f>VLOOKUP($B9,'1. Master Data'!$C:$AB,26,0)</f>
        <v>2416195.7236505873</v>
      </c>
      <c r="J9" s="1">
        <f t="shared" si="5"/>
        <v>2416195.7236505873</v>
      </c>
      <c r="K9" s="1">
        <f t="shared" si="6"/>
        <v>2609491.3815426342</v>
      </c>
      <c r="N9" s="24">
        <v>45879</v>
      </c>
      <c r="O9" s="54">
        <f t="shared" si="7"/>
        <v>45879</v>
      </c>
      <c r="P9">
        <f t="shared" si="8"/>
        <v>8</v>
      </c>
      <c r="Q9">
        <f t="shared" si="9"/>
        <v>2025</v>
      </c>
      <c r="R9" t="s">
        <v>291</v>
      </c>
      <c r="T9" s="43">
        <v>45887</v>
      </c>
      <c r="U9">
        <f>VLOOKUP($E9,'0. Mã Supplier'!$B:$F,5,0)</f>
        <v>180</v>
      </c>
      <c r="V9" s="53">
        <f t="shared" si="2"/>
        <v>46067</v>
      </c>
      <c r="W9" s="56">
        <f t="shared" si="10"/>
        <v>7</v>
      </c>
      <c r="X9" s="47">
        <f t="shared" si="11"/>
        <v>2</v>
      </c>
      <c r="Y9" s="47">
        <f t="shared" si="12"/>
        <v>2026</v>
      </c>
      <c r="AA9" s="45">
        <f t="shared" ca="1" si="13"/>
        <v>197</v>
      </c>
      <c r="AB9" s="1" t="b">
        <f t="shared" si="4"/>
        <v>0</v>
      </c>
      <c r="AD9" s="2">
        <f t="shared" si="14"/>
        <v>2609491.3815426342</v>
      </c>
    </row>
    <row r="10" spans="1:30">
      <c r="A10" t="s">
        <v>289</v>
      </c>
      <c r="B10" t="s">
        <v>26</v>
      </c>
      <c r="C10" t="str">
        <f>VLOOKUP(B10,'1. Master Data'!$C:$K,9,0)</f>
        <v>Nệm Power X Flow 160 x 200 x 22 cm</v>
      </c>
      <c r="E10" t="s">
        <v>120</v>
      </c>
      <c r="F10" t="s">
        <v>290</v>
      </c>
      <c r="G10">
        <v>28</v>
      </c>
      <c r="H10" s="1">
        <v>28</v>
      </c>
      <c r="I10" s="1">
        <f>VLOOKUP($B10,'1. Master Data'!$C:$AB,26,0)</f>
        <v>2696997.8484682338</v>
      </c>
      <c r="J10" s="1">
        <f t="shared" si="5"/>
        <v>75515939.757110551</v>
      </c>
      <c r="K10" s="1">
        <f t="shared" si="6"/>
        <v>81557214.937679395</v>
      </c>
      <c r="N10" s="24">
        <v>45879</v>
      </c>
      <c r="O10" s="54">
        <f t="shared" si="7"/>
        <v>45879</v>
      </c>
      <c r="P10">
        <f t="shared" si="8"/>
        <v>8</v>
      </c>
      <c r="Q10">
        <f t="shared" si="9"/>
        <v>2025</v>
      </c>
      <c r="R10" t="s">
        <v>291</v>
      </c>
      <c r="T10" s="43">
        <v>45887</v>
      </c>
      <c r="U10">
        <f>VLOOKUP($E10,'0. Mã Supplier'!$B:$F,5,0)</f>
        <v>180</v>
      </c>
      <c r="V10" s="53">
        <f t="shared" si="2"/>
        <v>46067</v>
      </c>
      <c r="W10" s="56">
        <f t="shared" si="10"/>
        <v>7</v>
      </c>
      <c r="X10" s="47">
        <f t="shared" si="11"/>
        <v>2</v>
      </c>
      <c r="Y10" s="47">
        <f t="shared" si="12"/>
        <v>2026</v>
      </c>
      <c r="AA10" s="45">
        <f t="shared" ca="1" si="13"/>
        <v>197</v>
      </c>
      <c r="AB10" s="1" t="b">
        <f t="shared" si="4"/>
        <v>0</v>
      </c>
      <c r="AD10" s="2">
        <f t="shared" si="14"/>
        <v>81557214.937679395</v>
      </c>
    </row>
    <row r="11" spans="1:30">
      <c r="A11" t="s">
        <v>289</v>
      </c>
      <c r="B11" t="s">
        <v>27</v>
      </c>
      <c r="C11" t="str">
        <f>VLOOKUP(B11,'1. Master Data'!$C:$K,9,0)</f>
        <v>Nệm Power X Flow 180 x 200 x 22 cm</v>
      </c>
      <c r="E11" t="s">
        <v>120</v>
      </c>
      <c r="F11" t="s">
        <v>290</v>
      </c>
      <c r="G11">
        <v>25</v>
      </c>
      <c r="H11" s="1">
        <v>25</v>
      </c>
      <c r="I11" s="1">
        <f>VLOOKUP($B11,'1. Master Data'!$C:$AB,26,0)</f>
        <v>2951779.9732858809</v>
      </c>
      <c r="J11" s="1">
        <f t="shared" si="5"/>
        <v>73794499.332147017</v>
      </c>
      <c r="K11" s="1">
        <f t="shared" si="6"/>
        <v>79698059.278718784</v>
      </c>
      <c r="N11" s="24">
        <v>45879</v>
      </c>
      <c r="O11" s="54">
        <f t="shared" si="7"/>
        <v>45879</v>
      </c>
      <c r="P11">
        <f t="shared" si="8"/>
        <v>8</v>
      </c>
      <c r="Q11">
        <f t="shared" si="9"/>
        <v>2025</v>
      </c>
      <c r="R11" t="s">
        <v>291</v>
      </c>
      <c r="T11" s="43">
        <v>45887</v>
      </c>
      <c r="U11">
        <f>VLOOKUP($E11,'0. Mã Supplier'!$B:$F,5,0)</f>
        <v>180</v>
      </c>
      <c r="V11" s="53">
        <f t="shared" si="2"/>
        <v>46067</v>
      </c>
      <c r="W11" s="56">
        <f t="shared" si="10"/>
        <v>7</v>
      </c>
      <c r="X11" s="47">
        <f t="shared" si="11"/>
        <v>2</v>
      </c>
      <c r="Y11" s="47">
        <f t="shared" si="12"/>
        <v>2026</v>
      </c>
      <c r="AA11" s="45">
        <f t="shared" ca="1" si="13"/>
        <v>197</v>
      </c>
      <c r="AB11" s="1" t="b">
        <f t="shared" si="4"/>
        <v>0</v>
      </c>
      <c r="AD11" s="2">
        <f t="shared" si="14"/>
        <v>79698059.278718784</v>
      </c>
    </row>
    <row r="12" spans="1:30">
      <c r="A12" t="s">
        <v>289</v>
      </c>
      <c r="B12" t="s">
        <v>28</v>
      </c>
      <c r="C12" t="str">
        <f>VLOOKUP(B12,'1. Master Data'!$C:$K,9,0)</f>
        <v>Nệm Power X Flow 200 x 220 x 22 cm</v>
      </c>
      <c r="E12" t="s">
        <v>120</v>
      </c>
      <c r="F12" t="s">
        <v>290</v>
      </c>
      <c r="G12">
        <v>5</v>
      </c>
      <c r="H12" s="1">
        <v>5</v>
      </c>
      <c r="I12" s="1">
        <f>VLOOKUP($B12,'1. Master Data'!$C:$AB,26,0)</f>
        <v>3367365.698103528</v>
      </c>
      <c r="J12" s="1">
        <f t="shared" si="5"/>
        <v>16836828.490517639</v>
      </c>
      <c r="K12" s="1">
        <f t="shared" si="6"/>
        <v>18183774.769759052</v>
      </c>
      <c r="N12" s="24">
        <v>45879</v>
      </c>
      <c r="O12" s="54">
        <f t="shared" si="7"/>
        <v>45879</v>
      </c>
      <c r="P12">
        <f t="shared" si="8"/>
        <v>8</v>
      </c>
      <c r="Q12">
        <f t="shared" si="9"/>
        <v>2025</v>
      </c>
      <c r="R12" t="s">
        <v>291</v>
      </c>
      <c r="T12" s="43">
        <v>45887</v>
      </c>
      <c r="U12">
        <f>VLOOKUP($E12,'0. Mã Supplier'!$B:$F,5,0)</f>
        <v>180</v>
      </c>
      <c r="V12" s="53">
        <f t="shared" si="2"/>
        <v>46067</v>
      </c>
      <c r="W12" s="56">
        <f t="shared" si="10"/>
        <v>7</v>
      </c>
      <c r="X12" s="47">
        <f t="shared" si="11"/>
        <v>2</v>
      </c>
      <c r="Y12" s="47">
        <f t="shared" si="12"/>
        <v>2026</v>
      </c>
      <c r="AA12" s="45">
        <f t="shared" ca="1" si="13"/>
        <v>197</v>
      </c>
      <c r="AB12" s="1" t="b">
        <f t="shared" si="4"/>
        <v>0</v>
      </c>
      <c r="AD12" s="2">
        <f t="shared" si="14"/>
        <v>18183774.769759052</v>
      </c>
    </row>
    <row r="13" spans="1:30">
      <c r="A13" t="s">
        <v>289</v>
      </c>
      <c r="B13" t="s">
        <v>26</v>
      </c>
      <c r="C13" t="str">
        <f>VLOOKUP(B13,'1. Master Data'!$C:$K,9,0)</f>
        <v>Nệm Power X Flow 160 x 200 x 22 cm</v>
      </c>
      <c r="E13" t="s">
        <v>120</v>
      </c>
      <c r="F13" t="s">
        <v>290</v>
      </c>
      <c r="G13">
        <v>1</v>
      </c>
      <c r="H13" s="1">
        <v>1</v>
      </c>
      <c r="I13" s="1">
        <f>VLOOKUP($B13,'1. Master Data'!$C:$AB,26,0)</f>
        <v>2696997.8484682338</v>
      </c>
      <c r="J13" s="1">
        <f t="shared" si="5"/>
        <v>2696997.8484682338</v>
      </c>
      <c r="K13" s="1">
        <f t="shared" si="6"/>
        <v>2912757.6763456929</v>
      </c>
      <c r="N13" s="24">
        <v>45879</v>
      </c>
      <c r="O13" s="54">
        <f t="shared" si="7"/>
        <v>45879</v>
      </c>
      <c r="P13">
        <f t="shared" si="8"/>
        <v>8</v>
      </c>
      <c r="Q13">
        <f t="shared" si="9"/>
        <v>2025</v>
      </c>
      <c r="R13" t="s">
        <v>291</v>
      </c>
      <c r="T13" s="43">
        <v>45887</v>
      </c>
      <c r="U13">
        <f>VLOOKUP($E13,'0. Mã Supplier'!$B:$F,5,0)</f>
        <v>180</v>
      </c>
      <c r="V13" s="53">
        <f t="shared" si="2"/>
        <v>46067</v>
      </c>
      <c r="W13" s="56">
        <f t="shared" si="10"/>
        <v>7</v>
      </c>
      <c r="X13" s="47">
        <f t="shared" si="11"/>
        <v>2</v>
      </c>
      <c r="Y13" s="47">
        <f t="shared" si="12"/>
        <v>2026</v>
      </c>
      <c r="AA13" s="45">
        <f t="shared" ca="1" si="13"/>
        <v>197</v>
      </c>
      <c r="AB13" s="1" t="b">
        <f t="shared" si="4"/>
        <v>0</v>
      </c>
      <c r="AD13" s="2">
        <f t="shared" si="14"/>
        <v>2912757.6763456929</v>
      </c>
    </row>
    <row r="14" spans="1:30">
      <c r="A14" t="s">
        <v>289</v>
      </c>
      <c r="B14" t="s">
        <v>29</v>
      </c>
      <c r="C14" t="str">
        <f>VLOOKUP(B14,'1. Master Data'!$C:$K,9,0)</f>
        <v>Nệm Power X Fusion 120 x 200 x 27 cm</v>
      </c>
      <c r="E14" t="s">
        <v>120</v>
      </c>
      <c r="F14" t="s">
        <v>290</v>
      </c>
      <c r="G14">
        <v>1</v>
      </c>
      <c r="H14" s="1">
        <v>1</v>
      </c>
      <c r="I14" s="1">
        <f>VLOOKUP($B14,'1. Master Data'!$C:$AB,26,0)</f>
        <v>3572469.1823194339</v>
      </c>
      <c r="J14" s="1">
        <f t="shared" si="5"/>
        <v>3572469.1823194339</v>
      </c>
      <c r="K14" s="1">
        <f t="shared" si="6"/>
        <v>3858266.716904989</v>
      </c>
      <c r="N14" s="24">
        <v>45879</v>
      </c>
      <c r="O14" s="54">
        <f t="shared" si="7"/>
        <v>45879</v>
      </c>
      <c r="P14">
        <f t="shared" si="8"/>
        <v>8</v>
      </c>
      <c r="Q14">
        <f t="shared" si="9"/>
        <v>2025</v>
      </c>
      <c r="R14" t="s">
        <v>291</v>
      </c>
      <c r="T14" s="43">
        <v>45887</v>
      </c>
      <c r="U14">
        <f>VLOOKUP($E14,'0. Mã Supplier'!$B:$F,5,0)</f>
        <v>180</v>
      </c>
      <c r="V14" s="53">
        <f t="shared" si="2"/>
        <v>46067</v>
      </c>
      <c r="W14" s="56">
        <f t="shared" si="10"/>
        <v>7</v>
      </c>
      <c r="X14" s="47">
        <f t="shared" si="11"/>
        <v>2</v>
      </c>
      <c r="Y14" s="47">
        <f t="shared" si="12"/>
        <v>2026</v>
      </c>
      <c r="AA14" s="45">
        <f t="shared" ca="1" si="13"/>
        <v>197</v>
      </c>
      <c r="AB14" s="1" t="b">
        <f t="shared" si="4"/>
        <v>0</v>
      </c>
      <c r="AD14" s="2">
        <f t="shared" si="14"/>
        <v>3858266.716904989</v>
      </c>
    </row>
    <row r="15" spans="1:30">
      <c r="A15" t="s">
        <v>289</v>
      </c>
      <c r="B15" t="s">
        <v>30</v>
      </c>
      <c r="C15" t="str">
        <f>VLOOKUP(B15,'1. Master Data'!$C:$K,9,0)</f>
        <v>Nệm Power X Fusion 140 x 200 x 27 cm</v>
      </c>
      <c r="E15" t="s">
        <v>120</v>
      </c>
      <c r="F15" t="s">
        <v>290</v>
      </c>
      <c r="G15">
        <v>1</v>
      </c>
      <c r="H15" s="1">
        <v>1</v>
      </c>
      <c r="I15" s="1">
        <f>VLOOKUP($B15,'1. Master Data'!$C:$AB,26,0)</f>
        <v>3940396.2420568457</v>
      </c>
      <c r="J15" s="1">
        <f t="shared" si="5"/>
        <v>3940396.2420568457</v>
      </c>
      <c r="K15" s="1">
        <f t="shared" si="6"/>
        <v>4255627.9414213933</v>
      </c>
      <c r="N15" s="24">
        <v>45879</v>
      </c>
      <c r="O15" s="54">
        <f t="shared" si="7"/>
        <v>45879</v>
      </c>
      <c r="P15">
        <f t="shared" si="8"/>
        <v>8</v>
      </c>
      <c r="Q15">
        <f t="shared" si="9"/>
        <v>2025</v>
      </c>
      <c r="R15" t="s">
        <v>291</v>
      </c>
      <c r="T15" s="43">
        <v>45887</v>
      </c>
      <c r="U15">
        <f>VLOOKUP($E15,'0. Mã Supplier'!$B:$F,5,0)</f>
        <v>180</v>
      </c>
      <c r="V15" s="53">
        <f t="shared" si="2"/>
        <v>46067</v>
      </c>
      <c r="W15" s="56">
        <f t="shared" si="10"/>
        <v>7</v>
      </c>
      <c r="X15" s="47">
        <f t="shared" si="11"/>
        <v>2</v>
      </c>
      <c r="Y15" s="47">
        <f t="shared" si="12"/>
        <v>2026</v>
      </c>
      <c r="AA15" s="45">
        <f t="shared" ca="1" si="13"/>
        <v>197</v>
      </c>
      <c r="AB15" s="1" t="b">
        <f t="shared" si="4"/>
        <v>0</v>
      </c>
      <c r="AD15" s="2">
        <f t="shared" si="14"/>
        <v>4255627.9414213933</v>
      </c>
    </row>
    <row r="16" spans="1:30">
      <c r="A16" t="s">
        <v>289</v>
      </c>
      <c r="B16" t="s">
        <v>31</v>
      </c>
      <c r="C16" t="str">
        <f>VLOOKUP(B16,'1. Master Data'!$C:$K,9,0)</f>
        <v>Nệm Power X Fusion 160 x 200 x 27 cm</v>
      </c>
      <c r="E16" t="s">
        <v>120</v>
      </c>
      <c r="F16" t="s">
        <v>290</v>
      </c>
      <c r="G16">
        <v>13</v>
      </c>
      <c r="H16" s="1">
        <v>13</v>
      </c>
      <c r="I16" s="1">
        <f>VLOOKUP($B16,'1. Master Data'!$C:$AB,26,0)</f>
        <v>4412403.301794257</v>
      </c>
      <c r="J16" s="1">
        <f t="shared" si="5"/>
        <v>57361242.923325345</v>
      </c>
      <c r="K16" s="1">
        <f t="shared" si="6"/>
        <v>61950142.357191376</v>
      </c>
      <c r="N16" s="24">
        <v>45879</v>
      </c>
      <c r="O16" s="54">
        <f t="shared" si="7"/>
        <v>45879</v>
      </c>
      <c r="P16">
        <f t="shared" si="8"/>
        <v>8</v>
      </c>
      <c r="Q16">
        <f t="shared" si="9"/>
        <v>2025</v>
      </c>
      <c r="R16" t="s">
        <v>291</v>
      </c>
      <c r="T16" s="43">
        <v>45887</v>
      </c>
      <c r="U16">
        <f>VLOOKUP($E16,'0. Mã Supplier'!$B:$F,5,0)</f>
        <v>180</v>
      </c>
      <c r="V16" s="53">
        <f t="shared" si="2"/>
        <v>46067</v>
      </c>
      <c r="W16" s="56">
        <f t="shared" si="10"/>
        <v>7</v>
      </c>
      <c r="X16" s="47">
        <f t="shared" si="11"/>
        <v>2</v>
      </c>
      <c r="Y16" s="47">
        <f t="shared" si="12"/>
        <v>2026</v>
      </c>
      <c r="AA16" s="45">
        <f t="shared" ca="1" si="13"/>
        <v>197</v>
      </c>
      <c r="AB16" s="1" t="b">
        <f t="shared" si="4"/>
        <v>0</v>
      </c>
      <c r="AD16" s="2">
        <f t="shared" si="14"/>
        <v>61950142.357191376</v>
      </c>
    </row>
    <row r="17" spans="1:30">
      <c r="A17" t="s">
        <v>289</v>
      </c>
      <c r="B17" t="s">
        <v>32</v>
      </c>
      <c r="C17" t="str">
        <f>VLOOKUP(B17,'1. Master Data'!$C:$K,9,0)</f>
        <v>Nệm Power X Fusion 180 x 200 x 27 cm</v>
      </c>
      <c r="E17" t="s">
        <v>120</v>
      </c>
      <c r="F17" t="s">
        <v>290</v>
      </c>
      <c r="G17">
        <v>11</v>
      </c>
      <c r="H17" s="1">
        <v>11</v>
      </c>
      <c r="I17" s="1">
        <f>VLOOKUP($B17,'1. Master Data'!$C:$AB,26,0)</f>
        <v>4806350.3615316683</v>
      </c>
      <c r="J17" s="1">
        <f t="shared" si="5"/>
        <v>52869853.976848349</v>
      </c>
      <c r="K17" s="1">
        <f t="shared" si="6"/>
        <v>57099442.294996224</v>
      </c>
      <c r="N17" s="24">
        <v>45879</v>
      </c>
      <c r="O17" s="54">
        <f t="shared" si="7"/>
        <v>45879</v>
      </c>
      <c r="P17">
        <f t="shared" si="8"/>
        <v>8</v>
      </c>
      <c r="Q17">
        <f t="shared" si="9"/>
        <v>2025</v>
      </c>
      <c r="R17" t="s">
        <v>291</v>
      </c>
      <c r="T17" s="43">
        <v>45887</v>
      </c>
      <c r="U17">
        <f>VLOOKUP($E17,'0. Mã Supplier'!$B:$F,5,0)</f>
        <v>180</v>
      </c>
      <c r="V17" s="53">
        <f t="shared" si="2"/>
        <v>46067</v>
      </c>
      <c r="W17" s="56">
        <f t="shared" si="10"/>
        <v>7</v>
      </c>
      <c r="X17" s="47">
        <f t="shared" si="11"/>
        <v>2</v>
      </c>
      <c r="Y17" s="47">
        <f t="shared" si="12"/>
        <v>2026</v>
      </c>
      <c r="AA17" s="45">
        <f t="shared" ca="1" si="13"/>
        <v>197</v>
      </c>
      <c r="AB17" s="1" t="b">
        <f t="shared" si="4"/>
        <v>0</v>
      </c>
      <c r="AD17" s="2">
        <f t="shared" si="14"/>
        <v>57099442.294996224</v>
      </c>
    </row>
    <row r="18" spans="1:30">
      <c r="A18" t="s">
        <v>289</v>
      </c>
      <c r="B18" t="s">
        <v>33</v>
      </c>
      <c r="C18" t="str">
        <f>VLOOKUP(B18,'1. Master Data'!$C:$K,9,0)</f>
        <v>Nệm Power X Fusion 200 x 220 x 27 cm</v>
      </c>
      <c r="E18" t="s">
        <v>120</v>
      </c>
      <c r="F18" t="s">
        <v>290</v>
      </c>
      <c r="G18">
        <v>2</v>
      </c>
      <c r="H18" s="1">
        <v>2</v>
      </c>
      <c r="I18" s="1">
        <f>VLOOKUP($B18,'1. Master Data'!$C:$AB,26,0)</f>
        <v>5356417.4212690797</v>
      </c>
      <c r="J18" s="1">
        <f t="shared" si="5"/>
        <v>10712834.842538159</v>
      </c>
      <c r="K18" s="1">
        <f t="shared" si="6"/>
        <v>11569861.629941212</v>
      </c>
      <c r="N18" s="24">
        <v>45879</v>
      </c>
      <c r="O18" s="54">
        <f t="shared" si="7"/>
        <v>45879</v>
      </c>
      <c r="P18">
        <f t="shared" si="8"/>
        <v>8</v>
      </c>
      <c r="Q18">
        <f t="shared" si="9"/>
        <v>2025</v>
      </c>
      <c r="R18" t="s">
        <v>291</v>
      </c>
      <c r="T18" s="43">
        <v>45887</v>
      </c>
      <c r="U18">
        <f>VLOOKUP($E18,'0. Mã Supplier'!$B:$F,5,0)</f>
        <v>180</v>
      </c>
      <c r="V18" s="53">
        <f t="shared" si="2"/>
        <v>46067</v>
      </c>
      <c r="W18" s="56">
        <f t="shared" si="10"/>
        <v>7</v>
      </c>
      <c r="X18" s="47">
        <f t="shared" si="11"/>
        <v>2</v>
      </c>
      <c r="Y18" s="47">
        <f t="shared" si="12"/>
        <v>2026</v>
      </c>
      <c r="AA18" s="45">
        <f t="shared" ca="1" si="13"/>
        <v>197</v>
      </c>
      <c r="AB18" s="1" t="b">
        <f t="shared" si="4"/>
        <v>0</v>
      </c>
      <c r="AD18" s="2">
        <f t="shared" si="14"/>
        <v>11569861.629941212</v>
      </c>
    </row>
    <row r="19" spans="1:30">
      <c r="A19" t="s">
        <v>289</v>
      </c>
      <c r="B19" t="s">
        <v>31</v>
      </c>
      <c r="C19" t="str">
        <f>VLOOKUP(B19,'1. Master Data'!$C:$K,9,0)</f>
        <v>Nệm Power X Fusion 160 x 200 x 27 cm</v>
      </c>
      <c r="E19" t="s">
        <v>120</v>
      </c>
      <c r="F19" t="s">
        <v>290</v>
      </c>
      <c r="G19">
        <v>1</v>
      </c>
      <c r="H19" s="1">
        <v>1</v>
      </c>
      <c r="I19" s="1">
        <f>VLOOKUP($B19,'1. Master Data'!$C:$AB,26,0)</f>
        <v>4412403.301794257</v>
      </c>
      <c r="J19" s="1">
        <f t="shared" si="5"/>
        <v>4412403.301794257</v>
      </c>
      <c r="K19" s="1">
        <f t="shared" si="6"/>
        <v>4765395.5659377975</v>
      </c>
      <c r="N19" s="24">
        <v>45879</v>
      </c>
      <c r="O19" s="54">
        <f t="shared" si="7"/>
        <v>45879</v>
      </c>
      <c r="P19">
        <f t="shared" si="8"/>
        <v>8</v>
      </c>
      <c r="Q19">
        <f t="shared" si="9"/>
        <v>2025</v>
      </c>
      <c r="R19" t="s">
        <v>291</v>
      </c>
      <c r="T19" s="43">
        <v>45887</v>
      </c>
      <c r="U19">
        <f>VLOOKUP($E19,'0. Mã Supplier'!$B:$F,5,0)</f>
        <v>180</v>
      </c>
      <c r="V19" s="53">
        <f t="shared" si="2"/>
        <v>46067</v>
      </c>
      <c r="W19" s="56">
        <f t="shared" si="10"/>
        <v>7</v>
      </c>
      <c r="X19" s="47">
        <f t="shared" si="11"/>
        <v>2</v>
      </c>
      <c r="Y19" s="47">
        <f t="shared" si="12"/>
        <v>2026</v>
      </c>
      <c r="AA19" s="45">
        <f t="shared" ca="1" si="13"/>
        <v>197</v>
      </c>
      <c r="AB19" s="1" t="b">
        <f t="shared" si="4"/>
        <v>0</v>
      </c>
      <c r="AD19" s="2">
        <f t="shared" si="14"/>
        <v>4765395.5659377975</v>
      </c>
    </row>
    <row r="20" spans="1:30">
      <c r="A20" t="s">
        <v>289</v>
      </c>
      <c r="B20" t="s">
        <v>34</v>
      </c>
      <c r="C20" t="str">
        <f>VLOOKUP(B20,'1. Master Data'!$C:$K,9,0)</f>
        <v>Nệm Power X Prime 120 x 200 x 30 cm</v>
      </c>
      <c r="E20" t="s">
        <v>120</v>
      </c>
      <c r="F20" t="s">
        <v>290</v>
      </c>
      <c r="G20">
        <v>1</v>
      </c>
      <c r="H20" s="1">
        <v>1</v>
      </c>
      <c r="I20" s="1">
        <f>VLOOKUP($B20,'1. Master Data'!$C:$AB,26,0)</f>
        <v>5178206.3979252269</v>
      </c>
      <c r="J20" s="1">
        <f t="shared" si="5"/>
        <v>5178206.3979252269</v>
      </c>
      <c r="K20" s="1">
        <f t="shared" si="6"/>
        <v>5592462.9097592458</v>
      </c>
      <c r="N20" s="24">
        <v>45879</v>
      </c>
      <c r="O20" s="54">
        <f t="shared" si="7"/>
        <v>45879</v>
      </c>
      <c r="P20">
        <f t="shared" si="8"/>
        <v>8</v>
      </c>
      <c r="Q20">
        <f t="shared" si="9"/>
        <v>2025</v>
      </c>
      <c r="R20" t="s">
        <v>291</v>
      </c>
      <c r="T20" s="43">
        <v>45887</v>
      </c>
      <c r="U20">
        <f>VLOOKUP($E20,'0. Mã Supplier'!$B:$F,5,0)</f>
        <v>180</v>
      </c>
      <c r="V20" s="53">
        <f t="shared" si="2"/>
        <v>46067</v>
      </c>
      <c r="W20" s="56">
        <f t="shared" si="10"/>
        <v>7</v>
      </c>
      <c r="X20" s="47">
        <f t="shared" si="11"/>
        <v>2</v>
      </c>
      <c r="Y20" s="47">
        <f t="shared" si="12"/>
        <v>2026</v>
      </c>
      <c r="AA20" s="45">
        <f t="shared" ca="1" si="13"/>
        <v>197</v>
      </c>
      <c r="AB20" s="1" t="b">
        <f t="shared" si="4"/>
        <v>0</v>
      </c>
      <c r="AD20" s="2">
        <f t="shared" si="14"/>
        <v>5592462.9097592458</v>
      </c>
    </row>
    <row r="21" spans="1:30">
      <c r="A21" t="s">
        <v>289</v>
      </c>
      <c r="B21" t="s">
        <v>35</v>
      </c>
      <c r="C21" t="str">
        <f>VLOOKUP(B21,'1. Master Data'!$C:$K,9,0)</f>
        <v>Nệm Power X Prime 140 x 200 x 30 cm</v>
      </c>
      <c r="E21" t="s">
        <v>120</v>
      </c>
      <c r="F21" t="s">
        <v>290</v>
      </c>
      <c r="G21">
        <v>1</v>
      </c>
      <c r="H21" s="1">
        <v>1</v>
      </c>
      <c r="I21" s="1">
        <f>VLOOKUP($B21,'1. Master Data'!$C:$AB,26,0)</f>
        <v>5917372.3976010438</v>
      </c>
      <c r="J21" s="1">
        <f t="shared" si="5"/>
        <v>5917372.3976010438</v>
      </c>
      <c r="K21" s="1">
        <f t="shared" si="6"/>
        <v>6390762.1894091275</v>
      </c>
      <c r="N21" s="24">
        <v>45879</v>
      </c>
      <c r="O21" s="54">
        <f t="shared" si="7"/>
        <v>45879</v>
      </c>
      <c r="P21">
        <f t="shared" si="8"/>
        <v>8</v>
      </c>
      <c r="Q21">
        <f t="shared" si="9"/>
        <v>2025</v>
      </c>
      <c r="R21" t="s">
        <v>291</v>
      </c>
      <c r="T21" s="43">
        <v>45887</v>
      </c>
      <c r="U21">
        <f>VLOOKUP($E21,'0. Mã Supplier'!$B:$F,5,0)</f>
        <v>180</v>
      </c>
      <c r="V21" s="53">
        <f t="shared" si="2"/>
        <v>46067</v>
      </c>
      <c r="W21" s="56">
        <f t="shared" si="10"/>
        <v>7</v>
      </c>
      <c r="X21" s="47">
        <f t="shared" si="11"/>
        <v>2</v>
      </c>
      <c r="Y21" s="47">
        <f t="shared" si="12"/>
        <v>2026</v>
      </c>
      <c r="AA21" s="45">
        <f t="shared" ca="1" si="13"/>
        <v>197</v>
      </c>
      <c r="AB21" s="1" t="b">
        <f t="shared" si="4"/>
        <v>0</v>
      </c>
      <c r="AD21" s="2">
        <f t="shared" si="14"/>
        <v>6390762.1894091275</v>
      </c>
    </row>
    <row r="22" spans="1:30">
      <c r="A22" t="s">
        <v>289</v>
      </c>
      <c r="B22" t="s">
        <v>36</v>
      </c>
      <c r="C22" t="str">
        <f>VLOOKUP(B22,'1. Master Data'!$C:$K,9,0)</f>
        <v>Nệm Power X Prime 160 x 200 x 30 cm</v>
      </c>
      <c r="E22" t="s">
        <v>120</v>
      </c>
      <c r="F22" t="s">
        <v>290</v>
      </c>
      <c r="G22">
        <v>5</v>
      </c>
      <c r="H22" s="1">
        <v>5</v>
      </c>
      <c r="I22" s="1">
        <f>VLOOKUP($B22,'1. Master Data'!$C:$AB,26,0)</f>
        <v>6578478.3972768607</v>
      </c>
      <c r="J22" s="1">
        <f t="shared" si="5"/>
        <v>32892391.986384302</v>
      </c>
      <c r="K22" s="1">
        <f t="shared" si="6"/>
        <v>35523783.345295049</v>
      </c>
      <c r="N22" s="24">
        <v>45879</v>
      </c>
      <c r="O22" s="54">
        <f t="shared" si="7"/>
        <v>45879</v>
      </c>
      <c r="P22">
        <f t="shared" si="8"/>
        <v>8</v>
      </c>
      <c r="Q22">
        <f t="shared" si="9"/>
        <v>2025</v>
      </c>
      <c r="R22" t="s">
        <v>291</v>
      </c>
      <c r="T22" s="43">
        <v>45887</v>
      </c>
      <c r="U22">
        <f>VLOOKUP($E22,'0. Mã Supplier'!$B:$F,5,0)</f>
        <v>180</v>
      </c>
      <c r="V22" s="53">
        <f t="shared" si="2"/>
        <v>46067</v>
      </c>
      <c r="W22" s="56">
        <f t="shared" si="10"/>
        <v>7</v>
      </c>
      <c r="X22" s="47">
        <f t="shared" si="11"/>
        <v>2</v>
      </c>
      <c r="Y22" s="47">
        <f t="shared" si="12"/>
        <v>2026</v>
      </c>
      <c r="AA22" s="45">
        <f t="shared" ca="1" si="13"/>
        <v>197</v>
      </c>
      <c r="AB22" s="1" t="b">
        <f t="shared" si="4"/>
        <v>0</v>
      </c>
      <c r="AD22" s="2">
        <f t="shared" si="14"/>
        <v>35523783.345295049</v>
      </c>
    </row>
    <row r="23" spans="1:30">
      <c r="A23" t="s">
        <v>289</v>
      </c>
      <c r="B23" t="s">
        <v>37</v>
      </c>
      <c r="C23" t="str">
        <f>VLOOKUP(B23,'1. Master Data'!$C:$K,9,0)</f>
        <v>Nệm Power X Prime 180 x 200 x 30 cm</v>
      </c>
      <c r="E23" t="s">
        <v>120</v>
      </c>
      <c r="F23" t="s">
        <v>290</v>
      </c>
      <c r="G23">
        <v>5</v>
      </c>
      <c r="H23" s="1">
        <v>5</v>
      </c>
      <c r="I23" s="1">
        <f>VLOOKUP($B23,'1. Master Data'!$C:$AB,26,0)</f>
        <v>7291624.3969526775</v>
      </c>
      <c r="J23" s="1">
        <f t="shared" si="5"/>
        <v>36458121.984763384</v>
      </c>
      <c r="K23" s="1">
        <f t="shared" si="6"/>
        <v>39374771.743544459</v>
      </c>
      <c r="N23" s="24">
        <v>45879</v>
      </c>
      <c r="O23" s="54">
        <f t="shared" si="7"/>
        <v>45879</v>
      </c>
      <c r="P23">
        <f t="shared" si="8"/>
        <v>8</v>
      </c>
      <c r="Q23">
        <f t="shared" si="9"/>
        <v>2025</v>
      </c>
      <c r="R23" t="s">
        <v>291</v>
      </c>
      <c r="T23" s="43">
        <v>45887</v>
      </c>
      <c r="U23">
        <f>VLOOKUP($E23,'0. Mã Supplier'!$B:$F,5,0)</f>
        <v>180</v>
      </c>
      <c r="V23" s="53">
        <f t="shared" si="2"/>
        <v>46067</v>
      </c>
      <c r="W23" s="56">
        <f t="shared" si="10"/>
        <v>7</v>
      </c>
      <c r="X23" s="47">
        <f t="shared" si="11"/>
        <v>2</v>
      </c>
      <c r="Y23" s="47">
        <f t="shared" si="12"/>
        <v>2026</v>
      </c>
      <c r="AA23" s="45">
        <f t="shared" ca="1" si="13"/>
        <v>197</v>
      </c>
      <c r="AB23" s="1" t="b">
        <f t="shared" si="4"/>
        <v>0</v>
      </c>
      <c r="AD23" s="2">
        <f t="shared" si="14"/>
        <v>39374771.743544459</v>
      </c>
    </row>
    <row r="24" spans="1:30">
      <c r="A24" t="s">
        <v>289</v>
      </c>
      <c r="B24" t="s">
        <v>38</v>
      </c>
      <c r="C24" t="str">
        <f>VLOOKUP(B24,'1. Master Data'!$C:$K,9,0)</f>
        <v>Nệm Power X Prime 200 x 220 x 30 cm</v>
      </c>
      <c r="E24" t="s">
        <v>120</v>
      </c>
      <c r="F24" t="s">
        <v>290</v>
      </c>
      <c r="G24">
        <v>1</v>
      </c>
      <c r="H24" s="1">
        <v>1</v>
      </c>
      <c r="I24" s="1">
        <f>VLOOKUP($B24,'1. Master Data'!$C:$AB,26,0)</f>
        <v>8274597.7966284947</v>
      </c>
      <c r="J24" s="1">
        <f t="shared" si="5"/>
        <v>8274597.7966284947</v>
      </c>
      <c r="K24" s="1">
        <f t="shared" si="6"/>
        <v>8936565.6203587744</v>
      </c>
      <c r="N24" s="24">
        <v>45879</v>
      </c>
      <c r="O24" s="54">
        <f t="shared" si="7"/>
        <v>45879</v>
      </c>
      <c r="P24">
        <f t="shared" si="8"/>
        <v>8</v>
      </c>
      <c r="Q24">
        <f t="shared" si="9"/>
        <v>2025</v>
      </c>
      <c r="R24" t="s">
        <v>291</v>
      </c>
      <c r="T24" s="43">
        <v>45887</v>
      </c>
      <c r="U24">
        <f>VLOOKUP($E24,'0. Mã Supplier'!$B:$F,5,0)</f>
        <v>180</v>
      </c>
      <c r="V24" s="53">
        <f t="shared" si="2"/>
        <v>46067</v>
      </c>
      <c r="W24" s="56">
        <f t="shared" si="10"/>
        <v>7</v>
      </c>
      <c r="X24" s="47">
        <f t="shared" si="11"/>
        <v>2</v>
      </c>
      <c r="Y24" s="47">
        <f t="shared" si="12"/>
        <v>2026</v>
      </c>
      <c r="AA24" s="45">
        <f t="shared" ca="1" si="13"/>
        <v>197</v>
      </c>
      <c r="AB24" s="1" t="b">
        <f t="shared" si="4"/>
        <v>0</v>
      </c>
      <c r="AD24" s="2">
        <f t="shared" si="14"/>
        <v>8936565.6203587744</v>
      </c>
    </row>
    <row r="25" spans="1:30">
      <c r="A25" t="s">
        <v>289</v>
      </c>
      <c r="B25" t="s">
        <v>36</v>
      </c>
      <c r="C25" t="str">
        <f>VLOOKUP(B25,'1. Master Data'!$C:$K,9,0)</f>
        <v>Nệm Power X Prime 160 x 200 x 30 cm</v>
      </c>
      <c r="E25" t="s">
        <v>120</v>
      </c>
      <c r="F25" t="s">
        <v>290</v>
      </c>
      <c r="G25">
        <v>1</v>
      </c>
      <c r="H25" s="1">
        <v>1</v>
      </c>
      <c r="I25" s="1">
        <f>VLOOKUP($B25,'1. Master Data'!$C:$AB,26,0)</f>
        <v>6578478.3972768607</v>
      </c>
      <c r="J25" s="1">
        <f t="shared" si="5"/>
        <v>6578478.3972768607</v>
      </c>
      <c r="K25" s="1">
        <f t="shared" si="6"/>
        <v>7104756.6690590102</v>
      </c>
      <c r="N25" s="24">
        <v>45879</v>
      </c>
      <c r="O25" s="54">
        <f t="shared" si="7"/>
        <v>45879</v>
      </c>
      <c r="P25">
        <f t="shared" si="8"/>
        <v>8</v>
      </c>
      <c r="Q25">
        <f t="shared" si="9"/>
        <v>2025</v>
      </c>
      <c r="R25" t="s">
        <v>291</v>
      </c>
      <c r="T25" s="43">
        <v>45887</v>
      </c>
      <c r="U25">
        <f>VLOOKUP($E25,'0. Mã Supplier'!$B:$F,5,0)</f>
        <v>180</v>
      </c>
      <c r="V25" s="53">
        <f t="shared" si="2"/>
        <v>46067</v>
      </c>
      <c r="W25" s="56">
        <f t="shared" si="10"/>
        <v>7</v>
      </c>
      <c r="X25" s="47">
        <f t="shared" si="11"/>
        <v>2</v>
      </c>
      <c r="Y25" s="47">
        <f t="shared" si="12"/>
        <v>2026</v>
      </c>
      <c r="AA25" s="45">
        <f t="shared" ca="1" si="13"/>
        <v>197</v>
      </c>
      <c r="AB25" s="1" t="b">
        <f t="shared" si="4"/>
        <v>0</v>
      </c>
      <c r="AD25" s="2">
        <f t="shared" si="14"/>
        <v>7104756.6690590102</v>
      </c>
    </row>
    <row r="26" spans="1:30">
      <c r="A26" t="s">
        <v>289</v>
      </c>
      <c r="B26" t="s">
        <v>43</v>
      </c>
      <c r="C26" t="str">
        <f>VLOOKUP(B26,'1. Master Data'!$C:$K,9,0)</f>
        <v>Gối Power X Ergo 40 x 60 x 10/12 cm</v>
      </c>
      <c r="E26" t="s">
        <v>120</v>
      </c>
      <c r="F26" t="s">
        <v>290</v>
      </c>
      <c r="G26">
        <v>100</v>
      </c>
      <c r="H26" s="1">
        <v>100</v>
      </c>
      <c r="I26" s="1">
        <f>VLOOKUP($B26,'1. Master Data'!$C:$AB,26,0)</f>
        <v>259994.44948666551</v>
      </c>
      <c r="J26" s="1">
        <f t="shared" si="5"/>
        <v>25999444.94866655</v>
      </c>
      <c r="K26" s="1">
        <f t="shared" si="6"/>
        <v>28079400.544559877</v>
      </c>
      <c r="N26" s="24">
        <v>45879</v>
      </c>
      <c r="O26" s="54">
        <f t="shared" si="7"/>
        <v>45879</v>
      </c>
      <c r="P26">
        <f t="shared" si="8"/>
        <v>8</v>
      </c>
      <c r="Q26">
        <f t="shared" si="9"/>
        <v>2025</v>
      </c>
      <c r="R26" t="s">
        <v>291</v>
      </c>
      <c r="T26" s="43">
        <v>45887</v>
      </c>
      <c r="U26">
        <f>VLOOKUP($E26,'0. Mã Supplier'!$B:$F,5,0)</f>
        <v>180</v>
      </c>
      <c r="V26" s="53">
        <f t="shared" si="2"/>
        <v>46067</v>
      </c>
      <c r="W26" s="56">
        <f t="shared" si="10"/>
        <v>7</v>
      </c>
      <c r="X26" s="47">
        <f t="shared" si="11"/>
        <v>2</v>
      </c>
      <c r="Y26" s="47">
        <f t="shared" si="12"/>
        <v>2026</v>
      </c>
      <c r="AA26" s="45">
        <f t="shared" ca="1" si="13"/>
        <v>197</v>
      </c>
      <c r="AB26" s="1" t="b">
        <f t="shared" si="4"/>
        <v>0</v>
      </c>
      <c r="AD26" s="2">
        <f t="shared" si="14"/>
        <v>28079400.544559877</v>
      </c>
    </row>
    <row r="27" spans="1:30">
      <c r="A27" t="s">
        <v>289</v>
      </c>
      <c r="B27" t="s">
        <v>44</v>
      </c>
      <c r="C27" t="str">
        <f>VLOOKUP(B27,'1. Master Data'!$C:$K,9,0)</f>
        <v>Gối Power X Matrix 40 x 60 x 12 cm</v>
      </c>
      <c r="E27" t="s">
        <v>120</v>
      </c>
      <c r="F27" t="s">
        <v>290</v>
      </c>
      <c r="G27">
        <v>50</v>
      </c>
      <c r="H27" s="1">
        <v>50</v>
      </c>
      <c r="I27" s="1">
        <f>VLOOKUP($B27,'1. Master Data'!$C:$AB,26,0)</f>
        <v>473497.37682815897</v>
      </c>
      <c r="J27" s="1">
        <f t="shared" si="5"/>
        <v>23674868.841407947</v>
      </c>
      <c r="K27" s="1">
        <f t="shared" si="6"/>
        <v>25568858.348720584</v>
      </c>
      <c r="N27" s="24">
        <v>45879</v>
      </c>
      <c r="O27" s="54">
        <f t="shared" si="7"/>
        <v>45879</v>
      </c>
      <c r="P27">
        <f t="shared" si="8"/>
        <v>8</v>
      </c>
      <c r="Q27">
        <f t="shared" si="9"/>
        <v>2025</v>
      </c>
      <c r="R27" t="s">
        <v>291</v>
      </c>
      <c r="T27" s="43">
        <v>45887</v>
      </c>
      <c r="U27">
        <f>VLOOKUP($E27,'0. Mã Supplier'!$B:$F,5,0)</f>
        <v>180</v>
      </c>
      <c r="V27" s="53">
        <f t="shared" si="2"/>
        <v>46067</v>
      </c>
      <c r="W27" s="56">
        <f t="shared" si="10"/>
        <v>7</v>
      </c>
      <c r="X27" s="47">
        <f t="shared" si="11"/>
        <v>2</v>
      </c>
      <c r="Y27" s="47">
        <f t="shared" si="12"/>
        <v>2026</v>
      </c>
      <c r="AA27" s="45">
        <f t="shared" ca="1" si="13"/>
        <v>197</v>
      </c>
      <c r="AB27" s="1" t="b">
        <f t="shared" si="4"/>
        <v>0</v>
      </c>
      <c r="AD27" s="2">
        <f t="shared" si="14"/>
        <v>25568858.348720584</v>
      </c>
    </row>
    <row r="28" spans="1:30" s="42" customFormat="1">
      <c r="A28" s="42" t="s">
        <v>292</v>
      </c>
      <c r="B28" s="42" t="s">
        <v>78</v>
      </c>
      <c r="C28" s="42" t="str">
        <f>VLOOKUP(B28,'1. Master Data'!$C:$K,9,0)</f>
        <v>Chăn Tencel 60s Xanh dương pastel 200 x 230 cm</v>
      </c>
      <c r="D28" s="42" t="str">
        <f>VLOOKUP(E28,'0. Mã Supplier'!$B:$C,2,0)</f>
        <v>SUVN0001</v>
      </c>
      <c r="E28" s="42" t="s">
        <v>107</v>
      </c>
      <c r="F28" s="42" t="s">
        <v>290</v>
      </c>
      <c r="G28" s="42">
        <v>4</v>
      </c>
      <c r="H28" s="73">
        <v>4</v>
      </c>
      <c r="I28" s="73">
        <f>VLOOKUP($B28,'1. Master Data'!$C:$AB,26,0)</f>
        <v>429000</v>
      </c>
      <c r="J28" s="73">
        <f t="shared" si="5"/>
        <v>1716000</v>
      </c>
      <c r="K28" s="73">
        <f t="shared" si="6"/>
        <v>1853280.0000000002</v>
      </c>
      <c r="N28" s="43">
        <v>45658</v>
      </c>
      <c r="O28" s="55">
        <f t="shared" si="7"/>
        <v>45658</v>
      </c>
      <c r="P28" s="42">
        <f t="shared" ref="P28" si="15">MONTH(N28)</f>
        <v>1</v>
      </c>
      <c r="Q28" s="42">
        <f t="shared" ref="Q28" si="16">YEAR(N28)</f>
        <v>2025</v>
      </c>
      <c r="R28" s="42" t="s">
        <v>291</v>
      </c>
      <c r="T28" s="43">
        <v>45709</v>
      </c>
      <c r="U28" s="42">
        <f>VLOOKUP($E28,'0. Mã Supplier'!$B:$F,5,0)</f>
        <v>0</v>
      </c>
      <c r="V28" s="53">
        <f t="shared" si="2"/>
        <v>45709</v>
      </c>
      <c r="W28" s="56">
        <f t="shared" si="10"/>
        <v>8</v>
      </c>
      <c r="X28" s="47">
        <f t="shared" ref="X28" si="17">IF(V28&lt;&gt;0,MONTH(V28),"")</f>
        <v>2</v>
      </c>
      <c r="Y28" s="47">
        <f t="shared" si="12"/>
        <v>2025</v>
      </c>
      <c r="Z28" s="42" t="s">
        <v>261</v>
      </c>
      <c r="AA28" s="74">
        <f t="shared" ca="1" si="13"/>
        <v>0</v>
      </c>
      <c r="AB28" s="73">
        <f t="shared" si="4"/>
        <v>1853280.0000000002</v>
      </c>
      <c r="AC28" s="75"/>
      <c r="AD28" s="76">
        <f t="shared" si="14"/>
        <v>0</v>
      </c>
    </row>
    <row r="29" spans="1:30" s="42" customFormat="1">
      <c r="A29" s="42" t="s">
        <v>292</v>
      </c>
      <c r="B29" s="42" t="s">
        <v>79</v>
      </c>
      <c r="C29" s="42" t="str">
        <f>VLOOKUP(B29,'1. Master Data'!$C:$K,9,0)</f>
        <v>Chăn Tencel 60s Hồng pastel 200 x 230 cm</v>
      </c>
      <c r="D29" s="42" t="str">
        <f>VLOOKUP(E29,'0. Mã Supplier'!$B:$C,2,0)</f>
        <v>SUVN0001</v>
      </c>
      <c r="E29" s="42" t="s">
        <v>107</v>
      </c>
      <c r="F29" s="42" t="s">
        <v>290</v>
      </c>
      <c r="G29" s="42">
        <v>7</v>
      </c>
      <c r="H29" s="73">
        <v>7</v>
      </c>
      <c r="I29" s="73">
        <f>VLOOKUP($B29,'1. Master Data'!$C:$AB,26,0)</f>
        <v>429000</v>
      </c>
      <c r="J29" s="73">
        <f t="shared" si="5"/>
        <v>3003000</v>
      </c>
      <c r="K29" s="73">
        <f t="shared" si="6"/>
        <v>3243240</v>
      </c>
      <c r="N29" s="43">
        <v>45658</v>
      </c>
      <c r="O29" s="55">
        <f t="shared" si="7"/>
        <v>45658</v>
      </c>
      <c r="P29" s="42">
        <f t="shared" ref="P29:P93" si="18">MONTH(N29)</f>
        <v>1</v>
      </c>
      <c r="Q29" s="42">
        <f t="shared" ref="Q29:Q93" si="19">YEAR(N29)</f>
        <v>2025</v>
      </c>
      <c r="R29" s="42" t="s">
        <v>291</v>
      </c>
      <c r="T29" s="43">
        <v>45709</v>
      </c>
      <c r="U29" s="42">
        <f>VLOOKUP($E29,'0. Mã Supplier'!$B:$F,5,0)</f>
        <v>0</v>
      </c>
      <c r="V29" s="53">
        <f t="shared" si="2"/>
        <v>45709</v>
      </c>
      <c r="W29" s="56">
        <f t="shared" si="10"/>
        <v>8</v>
      </c>
      <c r="X29" s="47">
        <f t="shared" ref="X29:X69" si="20">IF(V29&lt;&gt;0,MONTH(V29),"")</f>
        <v>2</v>
      </c>
      <c r="Y29" s="47">
        <f t="shared" si="12"/>
        <v>2025</v>
      </c>
      <c r="Z29" s="42" t="s">
        <v>261</v>
      </c>
      <c r="AA29" s="74">
        <f t="shared" ca="1" si="13"/>
        <v>0</v>
      </c>
      <c r="AB29" s="73">
        <f t="shared" si="4"/>
        <v>3243240</v>
      </c>
      <c r="AC29" s="75"/>
      <c r="AD29" s="76">
        <f t="shared" si="14"/>
        <v>0</v>
      </c>
    </row>
    <row r="30" spans="1:30" s="42" customFormat="1">
      <c r="A30" s="42" t="s">
        <v>292</v>
      </c>
      <c r="B30" s="42" t="s">
        <v>80</v>
      </c>
      <c r="C30" s="42" t="str">
        <f>VLOOKUP(B30,'1. Master Data'!$C:$K,9,0)</f>
        <v>Chăn Tencel 60s Xanh rêu pastel 200 x 230 cm</v>
      </c>
      <c r="D30" s="42" t="str">
        <f>VLOOKUP(E30,'0. Mã Supplier'!$B:$C,2,0)</f>
        <v>SUVN0001</v>
      </c>
      <c r="E30" s="42" t="s">
        <v>107</v>
      </c>
      <c r="F30" s="42" t="s">
        <v>290</v>
      </c>
      <c r="G30" s="42">
        <v>1</v>
      </c>
      <c r="H30" s="73">
        <v>1</v>
      </c>
      <c r="I30" s="73">
        <f>VLOOKUP($B30,'1. Master Data'!$C:$AB,26,0)</f>
        <v>429000</v>
      </c>
      <c r="J30" s="73">
        <f t="shared" si="5"/>
        <v>429000</v>
      </c>
      <c r="K30" s="73">
        <f t="shared" si="6"/>
        <v>463320.00000000006</v>
      </c>
      <c r="N30" s="43">
        <v>45658</v>
      </c>
      <c r="O30" s="55">
        <f t="shared" si="7"/>
        <v>45658</v>
      </c>
      <c r="P30" s="42">
        <f t="shared" si="18"/>
        <v>1</v>
      </c>
      <c r="Q30" s="42">
        <f t="shared" si="19"/>
        <v>2025</v>
      </c>
      <c r="R30" s="42" t="s">
        <v>291</v>
      </c>
      <c r="T30" s="43">
        <v>45709</v>
      </c>
      <c r="U30" s="42">
        <f>VLOOKUP($E30,'0. Mã Supplier'!$B:$F,5,0)</f>
        <v>0</v>
      </c>
      <c r="V30" s="53">
        <f t="shared" si="2"/>
        <v>45709</v>
      </c>
      <c r="W30" s="56">
        <f t="shared" si="10"/>
        <v>8</v>
      </c>
      <c r="X30" s="47">
        <f t="shared" si="20"/>
        <v>2</v>
      </c>
      <c r="Y30" s="47">
        <f t="shared" si="12"/>
        <v>2025</v>
      </c>
      <c r="Z30" s="42" t="s">
        <v>261</v>
      </c>
      <c r="AA30" s="74">
        <f t="shared" ca="1" si="13"/>
        <v>0</v>
      </c>
      <c r="AB30" s="73">
        <f t="shared" si="4"/>
        <v>463320.00000000006</v>
      </c>
      <c r="AC30" s="75"/>
      <c r="AD30" s="76">
        <f t="shared" si="14"/>
        <v>0</v>
      </c>
    </row>
    <row r="31" spans="1:30" s="42" customFormat="1">
      <c r="A31" s="42" t="s">
        <v>292</v>
      </c>
      <c r="B31" s="42" t="s">
        <v>81</v>
      </c>
      <c r="C31" s="42" t="str">
        <f>VLOOKUP(B31,'1. Master Data'!$C:$K,9,0)</f>
        <v>Chăn Tencel 60s Hồng trắng pastel 200 x 230 cm</v>
      </c>
      <c r="D31" s="42" t="str">
        <f>VLOOKUP(E31,'0. Mã Supplier'!$B:$C,2,0)</f>
        <v>SUVN0001</v>
      </c>
      <c r="E31" s="42" t="s">
        <v>107</v>
      </c>
      <c r="F31" s="42" t="s">
        <v>290</v>
      </c>
      <c r="G31" s="42">
        <v>1</v>
      </c>
      <c r="H31" s="73">
        <v>1</v>
      </c>
      <c r="I31" s="73">
        <f>VLOOKUP($B31,'1. Master Data'!$C:$AB,26,0)</f>
        <v>429000</v>
      </c>
      <c r="J31" s="73">
        <f t="shared" si="5"/>
        <v>429000</v>
      </c>
      <c r="K31" s="73">
        <f t="shared" si="6"/>
        <v>463320.00000000006</v>
      </c>
      <c r="N31" s="43">
        <v>45658</v>
      </c>
      <c r="O31" s="55">
        <f t="shared" si="7"/>
        <v>45658</v>
      </c>
      <c r="P31" s="42">
        <f t="shared" si="18"/>
        <v>1</v>
      </c>
      <c r="Q31" s="42">
        <f t="shared" si="19"/>
        <v>2025</v>
      </c>
      <c r="R31" s="42" t="s">
        <v>291</v>
      </c>
      <c r="T31" s="43">
        <v>45709</v>
      </c>
      <c r="U31" s="42">
        <f>VLOOKUP($E31,'0. Mã Supplier'!$B:$F,5,0)</f>
        <v>0</v>
      </c>
      <c r="V31" s="53">
        <f t="shared" si="2"/>
        <v>45709</v>
      </c>
      <c r="W31" s="56">
        <f t="shared" si="10"/>
        <v>8</v>
      </c>
      <c r="X31" s="47">
        <f t="shared" si="20"/>
        <v>2</v>
      </c>
      <c r="Y31" s="47">
        <f t="shared" si="12"/>
        <v>2025</v>
      </c>
      <c r="Z31" s="42" t="s">
        <v>261</v>
      </c>
      <c r="AA31" s="74">
        <f t="shared" ca="1" si="13"/>
        <v>0</v>
      </c>
      <c r="AB31" s="73">
        <f t="shared" si="4"/>
        <v>463320.00000000006</v>
      </c>
      <c r="AC31" s="75"/>
      <c r="AD31" s="76">
        <f t="shared" si="14"/>
        <v>0</v>
      </c>
    </row>
    <row r="32" spans="1:30" s="42" customFormat="1">
      <c r="A32" s="42" t="s">
        <v>292</v>
      </c>
      <c r="B32" s="42" t="s">
        <v>82</v>
      </c>
      <c r="C32" s="42" t="str">
        <f>VLOOKUP(B32,'1. Master Data'!$C:$K,9,0)</f>
        <v>Chăn Tencel 60s Xám lông chuột 200 x 230 cm</v>
      </c>
      <c r="D32" s="42" t="str">
        <f>VLOOKUP(E32,'0. Mã Supplier'!$B:$C,2,0)</f>
        <v>SUVN0001</v>
      </c>
      <c r="E32" s="42" t="s">
        <v>107</v>
      </c>
      <c r="F32" s="42" t="s">
        <v>290</v>
      </c>
      <c r="G32" s="42">
        <v>1</v>
      </c>
      <c r="H32" s="73">
        <v>1</v>
      </c>
      <c r="I32" s="73">
        <f>VLOOKUP($B32,'1. Master Data'!$C:$AB,26,0)</f>
        <v>429000</v>
      </c>
      <c r="J32" s="73">
        <f t="shared" si="5"/>
        <v>429000</v>
      </c>
      <c r="K32" s="73">
        <f t="shared" si="6"/>
        <v>463320.00000000006</v>
      </c>
      <c r="N32" s="43">
        <v>45658</v>
      </c>
      <c r="O32" s="55">
        <f t="shared" si="7"/>
        <v>45658</v>
      </c>
      <c r="P32" s="42">
        <f t="shared" si="18"/>
        <v>1</v>
      </c>
      <c r="Q32" s="42">
        <f t="shared" si="19"/>
        <v>2025</v>
      </c>
      <c r="R32" s="42" t="s">
        <v>291</v>
      </c>
      <c r="T32" s="43">
        <v>45709</v>
      </c>
      <c r="U32" s="42">
        <f>VLOOKUP($E32,'0. Mã Supplier'!$B:$F,5,0)</f>
        <v>0</v>
      </c>
      <c r="V32" s="53">
        <f t="shared" si="2"/>
        <v>45709</v>
      </c>
      <c r="W32" s="56">
        <f t="shared" si="10"/>
        <v>8</v>
      </c>
      <c r="X32" s="47">
        <f t="shared" si="20"/>
        <v>2</v>
      </c>
      <c r="Y32" s="47">
        <f t="shared" si="12"/>
        <v>2025</v>
      </c>
      <c r="Z32" s="42" t="s">
        <v>261</v>
      </c>
      <c r="AA32" s="74">
        <f t="shared" ca="1" si="13"/>
        <v>0</v>
      </c>
      <c r="AB32" s="73">
        <f t="shared" si="4"/>
        <v>463320.00000000006</v>
      </c>
      <c r="AC32" s="75"/>
      <c r="AD32" s="76">
        <f t="shared" si="14"/>
        <v>0</v>
      </c>
    </row>
    <row r="33" spans="1:30" s="42" customFormat="1">
      <c r="A33" s="42" t="s">
        <v>292</v>
      </c>
      <c r="B33" s="42" t="s">
        <v>83</v>
      </c>
      <c r="C33" s="42" t="str">
        <f>VLOOKUP(B33,'1. Master Data'!$C:$K,9,0)</f>
        <v>Chăn Tencel 60s Xám xanh dương 200 x 230 cm</v>
      </c>
      <c r="D33" s="42" t="str">
        <f>VLOOKUP(E33,'0. Mã Supplier'!$B:$C,2,0)</f>
        <v>SUVN0001</v>
      </c>
      <c r="E33" s="42" t="s">
        <v>107</v>
      </c>
      <c r="F33" s="42" t="s">
        <v>290</v>
      </c>
      <c r="G33" s="42">
        <v>6</v>
      </c>
      <c r="H33" s="73">
        <v>6</v>
      </c>
      <c r="I33" s="73">
        <f>VLOOKUP($B33,'1. Master Data'!$C:$AB,26,0)</f>
        <v>429000</v>
      </c>
      <c r="J33" s="73">
        <f t="shared" si="5"/>
        <v>2574000</v>
      </c>
      <c r="K33" s="73">
        <f t="shared" si="6"/>
        <v>2779920</v>
      </c>
      <c r="N33" s="43">
        <v>45658</v>
      </c>
      <c r="O33" s="55">
        <f t="shared" si="7"/>
        <v>45658</v>
      </c>
      <c r="P33" s="42">
        <f t="shared" si="18"/>
        <v>1</v>
      </c>
      <c r="Q33" s="42">
        <f t="shared" si="19"/>
        <v>2025</v>
      </c>
      <c r="R33" s="42" t="s">
        <v>291</v>
      </c>
      <c r="T33" s="43">
        <v>45709</v>
      </c>
      <c r="U33" s="42">
        <f>VLOOKUP($E33,'0. Mã Supplier'!$B:$F,5,0)</f>
        <v>0</v>
      </c>
      <c r="V33" s="53">
        <f t="shared" si="2"/>
        <v>45709</v>
      </c>
      <c r="W33" s="56">
        <f t="shared" si="10"/>
        <v>8</v>
      </c>
      <c r="X33" s="47">
        <f t="shared" si="20"/>
        <v>2</v>
      </c>
      <c r="Y33" s="47">
        <f t="shared" si="12"/>
        <v>2025</v>
      </c>
      <c r="Z33" s="42" t="s">
        <v>261</v>
      </c>
      <c r="AA33" s="74">
        <f t="shared" ca="1" si="13"/>
        <v>0</v>
      </c>
      <c r="AB33" s="73">
        <f t="shared" si="4"/>
        <v>2779920</v>
      </c>
      <c r="AC33" s="75"/>
      <c r="AD33" s="76">
        <f t="shared" si="14"/>
        <v>0</v>
      </c>
    </row>
    <row r="34" spans="1:30" s="42" customFormat="1">
      <c r="A34" s="42" t="s">
        <v>292</v>
      </c>
      <c r="B34" s="42" t="s">
        <v>67</v>
      </c>
      <c r="C34" s="42" t="str">
        <f>VLOOKUP(B34,'1. Master Data'!$C:$K,9,0)</f>
        <v>Chăn Lạnh 4.8 Xanh dương pastel 200 x 230 cm, Vải cooling mát lạnh</v>
      </c>
      <c r="D34" s="42" t="str">
        <f>VLOOKUP(E34,'0. Mã Supplier'!$B:$C,2,0)</f>
        <v>SUVN0001</v>
      </c>
      <c r="E34" s="42" t="s">
        <v>107</v>
      </c>
      <c r="F34" s="42" t="s">
        <v>290</v>
      </c>
      <c r="G34" s="42">
        <v>5</v>
      </c>
      <c r="H34" s="73">
        <v>5</v>
      </c>
      <c r="I34" s="73">
        <f>VLOOKUP($B34,'1. Master Data'!$C:$AB,26,0)</f>
        <v>280000</v>
      </c>
      <c r="J34" s="73">
        <f t="shared" si="5"/>
        <v>1400000</v>
      </c>
      <c r="K34" s="73">
        <f t="shared" si="6"/>
        <v>1512000</v>
      </c>
      <c r="N34" s="43">
        <v>45658</v>
      </c>
      <c r="O34" s="55">
        <f t="shared" si="7"/>
        <v>45658</v>
      </c>
      <c r="P34" s="42">
        <f t="shared" si="18"/>
        <v>1</v>
      </c>
      <c r="Q34" s="42">
        <f t="shared" si="19"/>
        <v>2025</v>
      </c>
      <c r="R34" s="42" t="s">
        <v>291</v>
      </c>
      <c r="T34" s="43">
        <v>45709</v>
      </c>
      <c r="U34" s="42">
        <f>VLOOKUP($E34,'0. Mã Supplier'!$B:$F,5,0)</f>
        <v>0</v>
      </c>
      <c r="V34" s="53">
        <f t="shared" si="2"/>
        <v>45709</v>
      </c>
      <c r="W34" s="56">
        <f t="shared" si="10"/>
        <v>8</v>
      </c>
      <c r="X34" s="47">
        <f t="shared" si="20"/>
        <v>2</v>
      </c>
      <c r="Y34" s="47">
        <f t="shared" si="12"/>
        <v>2025</v>
      </c>
      <c r="Z34" s="42" t="s">
        <v>261</v>
      </c>
      <c r="AA34" s="74">
        <f t="shared" ca="1" si="13"/>
        <v>0</v>
      </c>
      <c r="AB34" s="73">
        <f t="shared" ref="AB34:AB66" si="21">IF(Z34="Yes",K34)</f>
        <v>1512000</v>
      </c>
      <c r="AC34" s="75"/>
      <c r="AD34" s="76">
        <f t="shared" si="14"/>
        <v>0</v>
      </c>
    </row>
    <row r="35" spans="1:30" s="42" customFormat="1">
      <c r="A35" s="42" t="s">
        <v>292</v>
      </c>
      <c r="B35" s="42" t="s">
        <v>68</v>
      </c>
      <c r="C35" s="42" t="str">
        <f>VLOOKUP(B35,'1. Master Data'!$C:$K,9,0)</f>
        <v>Chăn Lạnh 4.8 Xám pastel 200 x 230 cm, Vải cooling mát lạnh</v>
      </c>
      <c r="D35" s="42" t="str">
        <f>VLOOKUP(E35,'0. Mã Supplier'!$B:$C,2,0)</f>
        <v>SUVN0001</v>
      </c>
      <c r="E35" s="42" t="s">
        <v>107</v>
      </c>
      <c r="F35" s="42" t="s">
        <v>290</v>
      </c>
      <c r="G35" s="42">
        <v>3</v>
      </c>
      <c r="H35" s="73">
        <v>3</v>
      </c>
      <c r="I35" s="73">
        <f>VLOOKUP($B35,'1. Master Data'!$C:$AB,26,0)</f>
        <v>280000</v>
      </c>
      <c r="J35" s="73">
        <f t="shared" si="5"/>
        <v>840000</v>
      </c>
      <c r="K35" s="73">
        <f t="shared" si="6"/>
        <v>907200.00000000012</v>
      </c>
      <c r="N35" s="43">
        <v>45658</v>
      </c>
      <c r="O35" s="55">
        <f t="shared" si="7"/>
        <v>45658</v>
      </c>
      <c r="P35" s="42">
        <f t="shared" si="18"/>
        <v>1</v>
      </c>
      <c r="Q35" s="42">
        <f t="shared" si="19"/>
        <v>2025</v>
      </c>
      <c r="R35" s="42" t="s">
        <v>291</v>
      </c>
      <c r="T35" s="43">
        <v>45709</v>
      </c>
      <c r="U35" s="42">
        <f>VLOOKUP($E35,'0. Mã Supplier'!$B:$F,5,0)</f>
        <v>0</v>
      </c>
      <c r="V35" s="53">
        <f t="shared" si="2"/>
        <v>45709</v>
      </c>
      <c r="W35" s="56">
        <f t="shared" si="10"/>
        <v>8</v>
      </c>
      <c r="X35" s="47">
        <f t="shared" si="20"/>
        <v>2</v>
      </c>
      <c r="Y35" s="47">
        <f t="shared" si="12"/>
        <v>2025</v>
      </c>
      <c r="Z35" s="42" t="s">
        <v>261</v>
      </c>
      <c r="AA35" s="74">
        <f t="shared" ca="1" si="13"/>
        <v>0</v>
      </c>
      <c r="AB35" s="73">
        <f t="shared" si="21"/>
        <v>907200.00000000012</v>
      </c>
      <c r="AC35" s="75"/>
      <c r="AD35" s="76">
        <f t="shared" si="14"/>
        <v>0</v>
      </c>
    </row>
    <row r="36" spans="1:30" s="42" customFormat="1">
      <c r="A36" s="42" t="s">
        <v>292</v>
      </c>
      <c r="B36" s="42" t="s">
        <v>69</v>
      </c>
      <c r="C36" s="42" t="str">
        <f>VLOOKUP(B36,'1. Master Data'!$C:$K,9,0)</f>
        <v>Chăn Lạnh 4.8 Tím hoa cà 200 x 230 cm, Vải cooling mát lạnh</v>
      </c>
      <c r="D36" s="42" t="str">
        <f>VLOOKUP(E36,'0. Mã Supplier'!$B:$C,2,0)</f>
        <v>SUVN0001</v>
      </c>
      <c r="E36" s="42" t="s">
        <v>107</v>
      </c>
      <c r="F36" s="42" t="s">
        <v>290</v>
      </c>
      <c r="G36" s="42">
        <v>7</v>
      </c>
      <c r="H36" s="73">
        <v>7</v>
      </c>
      <c r="I36" s="73">
        <f>VLOOKUP($B36,'1. Master Data'!$C:$AB,26,0)</f>
        <v>280000</v>
      </c>
      <c r="J36" s="73">
        <f t="shared" si="5"/>
        <v>1960000</v>
      </c>
      <c r="K36" s="73">
        <f t="shared" si="6"/>
        <v>2116800</v>
      </c>
      <c r="N36" s="43">
        <v>45658</v>
      </c>
      <c r="O36" s="55">
        <f t="shared" si="7"/>
        <v>45658</v>
      </c>
      <c r="P36" s="42">
        <f t="shared" si="18"/>
        <v>1</v>
      </c>
      <c r="Q36" s="42">
        <f t="shared" si="19"/>
        <v>2025</v>
      </c>
      <c r="R36" s="42" t="s">
        <v>291</v>
      </c>
      <c r="T36" s="43">
        <v>45709</v>
      </c>
      <c r="U36" s="42">
        <f>VLOOKUP($E36,'0. Mã Supplier'!$B:$F,5,0)</f>
        <v>0</v>
      </c>
      <c r="V36" s="53">
        <f t="shared" si="2"/>
        <v>45709</v>
      </c>
      <c r="W36" s="56">
        <f t="shared" si="10"/>
        <v>8</v>
      </c>
      <c r="X36" s="47">
        <f t="shared" si="20"/>
        <v>2</v>
      </c>
      <c r="Y36" s="47">
        <f t="shared" si="12"/>
        <v>2025</v>
      </c>
      <c r="Z36" s="42" t="s">
        <v>261</v>
      </c>
      <c r="AA36" s="74">
        <f t="shared" ca="1" si="13"/>
        <v>0</v>
      </c>
      <c r="AB36" s="73">
        <f t="shared" si="21"/>
        <v>2116800</v>
      </c>
      <c r="AC36" s="75"/>
      <c r="AD36" s="76">
        <f t="shared" si="14"/>
        <v>0</v>
      </c>
    </row>
    <row r="37" spans="1:30" s="42" customFormat="1">
      <c r="A37" s="42" t="s">
        <v>292</v>
      </c>
      <c r="B37" s="42" t="s">
        <v>71</v>
      </c>
      <c r="C37" s="42" t="str">
        <f>VLOOKUP(B37,'1. Master Data'!$C:$K,9,0)</f>
        <v>Chăn Lạnh 4.8 Xanh dương xám 200 x 230 cm, Vải cooling mát lạnh</v>
      </c>
      <c r="D37" s="42" t="str">
        <f>VLOOKUP(E37,'0. Mã Supplier'!$B:$C,2,0)</f>
        <v>SUVN0001</v>
      </c>
      <c r="E37" s="42" t="s">
        <v>107</v>
      </c>
      <c r="F37" s="42" t="s">
        <v>290</v>
      </c>
      <c r="G37" s="42">
        <v>1</v>
      </c>
      <c r="H37" s="73">
        <v>1</v>
      </c>
      <c r="I37" s="73">
        <f>VLOOKUP($B37,'1. Master Data'!$C:$AB,26,0)</f>
        <v>280000</v>
      </c>
      <c r="J37" s="73">
        <f t="shared" ref="J37" si="22">I37*H37</f>
        <v>280000</v>
      </c>
      <c r="K37" s="73">
        <f t="shared" ref="K37" si="23">J37*1.08</f>
        <v>302400</v>
      </c>
      <c r="N37" s="43">
        <v>45658</v>
      </c>
      <c r="O37" s="55">
        <f t="shared" si="7"/>
        <v>45658</v>
      </c>
      <c r="P37" s="42">
        <f t="shared" ref="P37" si="24">MONTH(N37)</f>
        <v>1</v>
      </c>
      <c r="Q37" s="42">
        <f t="shared" ref="Q37" si="25">YEAR(N37)</f>
        <v>2025</v>
      </c>
      <c r="R37" s="42" t="s">
        <v>291</v>
      </c>
      <c r="T37" s="43">
        <v>45709</v>
      </c>
      <c r="U37" s="42">
        <f>VLOOKUP($E37,'0. Mã Supplier'!$B:$F,5,0)</f>
        <v>0</v>
      </c>
      <c r="V37" s="53">
        <f t="shared" si="2"/>
        <v>45709</v>
      </c>
      <c r="W37" s="56">
        <f t="shared" si="10"/>
        <v>8</v>
      </c>
      <c r="X37" s="47">
        <f t="shared" si="20"/>
        <v>2</v>
      </c>
      <c r="Y37" s="47">
        <f t="shared" si="12"/>
        <v>2025</v>
      </c>
      <c r="Z37" s="42" t="s">
        <v>261</v>
      </c>
      <c r="AA37" s="74">
        <f t="shared" ca="1" si="13"/>
        <v>0</v>
      </c>
      <c r="AB37" s="73">
        <f t="shared" ref="AB37" si="26">IF(Z37="Yes",K37)</f>
        <v>302400</v>
      </c>
      <c r="AC37" s="75"/>
      <c r="AD37" s="76">
        <f t="shared" si="14"/>
        <v>0</v>
      </c>
    </row>
    <row r="38" spans="1:30" s="42" customFormat="1">
      <c r="A38" s="42" t="s">
        <v>292</v>
      </c>
      <c r="B38" s="42" t="s">
        <v>70</v>
      </c>
      <c r="C38" s="42" t="str">
        <f>VLOOKUP(B38,'1. Master Data'!$C:$K,9,0)</f>
        <v>Chăn Lạnh 4.8 Xanh lá pastel 200 x 230 cm, Vải cooling mát lạnh</v>
      </c>
      <c r="D38" s="42" t="str">
        <f>VLOOKUP(E38,'0. Mã Supplier'!$B:$C,2,0)</f>
        <v>SUVN0001</v>
      </c>
      <c r="E38" s="42" t="s">
        <v>107</v>
      </c>
      <c r="F38" s="42" t="s">
        <v>290</v>
      </c>
      <c r="G38" s="42">
        <v>4</v>
      </c>
      <c r="H38" s="73">
        <v>4</v>
      </c>
      <c r="I38" s="73">
        <f>VLOOKUP($B38,'1. Master Data'!$C:$AB,26,0)</f>
        <v>280000</v>
      </c>
      <c r="J38" s="73">
        <f t="shared" si="5"/>
        <v>1120000</v>
      </c>
      <c r="K38" s="73">
        <f t="shared" si="6"/>
        <v>1209600</v>
      </c>
      <c r="N38" s="43">
        <v>45658</v>
      </c>
      <c r="O38" s="55">
        <f t="shared" si="7"/>
        <v>45658</v>
      </c>
      <c r="P38" s="42">
        <f t="shared" si="18"/>
        <v>1</v>
      </c>
      <c r="Q38" s="42">
        <f t="shared" si="19"/>
        <v>2025</v>
      </c>
      <c r="R38" s="42" t="s">
        <v>291</v>
      </c>
      <c r="T38" s="43">
        <v>45709</v>
      </c>
      <c r="U38" s="42">
        <f>VLOOKUP($E38,'0. Mã Supplier'!$B:$F,5,0)</f>
        <v>0</v>
      </c>
      <c r="V38" s="53">
        <f t="shared" si="2"/>
        <v>45709</v>
      </c>
      <c r="W38" s="56">
        <f t="shared" si="10"/>
        <v>8</v>
      </c>
      <c r="X38" s="47">
        <f t="shared" si="20"/>
        <v>2</v>
      </c>
      <c r="Y38" s="47">
        <f t="shared" si="12"/>
        <v>2025</v>
      </c>
      <c r="Z38" s="42" t="s">
        <v>261</v>
      </c>
      <c r="AA38" s="74">
        <f t="shared" ca="1" si="13"/>
        <v>0</v>
      </c>
      <c r="AB38" s="73">
        <f t="shared" si="21"/>
        <v>1209600</v>
      </c>
      <c r="AC38" s="75"/>
      <c r="AD38" s="76">
        <f t="shared" si="14"/>
        <v>0</v>
      </c>
    </row>
    <row r="39" spans="1:30" s="42" customFormat="1">
      <c r="A39" s="42" t="s">
        <v>292</v>
      </c>
      <c r="B39" s="42" t="s">
        <v>45</v>
      </c>
      <c r="C39" s="42" t="str">
        <f>VLOOKUP(B39,'1. Master Data'!$C:$K,9,0)</f>
        <v>Bộ Chăn ga Xơ đũi 4CT (ga phủ, chăn chần) Trái tim</v>
      </c>
      <c r="D39" s="42" t="str">
        <f>VLOOKUP(E39,'0. Mã Supplier'!$B:$C,2,0)</f>
        <v>SUVN0001</v>
      </c>
      <c r="E39" s="42" t="s">
        <v>107</v>
      </c>
      <c r="F39" s="42" t="s">
        <v>293</v>
      </c>
      <c r="G39" s="42">
        <v>13</v>
      </c>
      <c r="H39" s="73">
        <v>13</v>
      </c>
      <c r="I39" s="73">
        <f>VLOOKUP($B39,'1. Master Data'!$C:$AB,26,0)</f>
        <v>207900</v>
      </c>
      <c r="J39" s="73">
        <f t="shared" si="5"/>
        <v>2702700</v>
      </c>
      <c r="K39" s="73">
        <f t="shared" si="6"/>
        <v>2918916</v>
      </c>
      <c r="N39" s="43">
        <v>45658</v>
      </c>
      <c r="O39" s="55">
        <f t="shared" si="7"/>
        <v>45658</v>
      </c>
      <c r="P39" s="42">
        <f t="shared" si="18"/>
        <v>1</v>
      </c>
      <c r="Q39" s="42">
        <f t="shared" si="19"/>
        <v>2025</v>
      </c>
      <c r="R39" s="42" t="s">
        <v>291</v>
      </c>
      <c r="T39" s="43">
        <v>45709</v>
      </c>
      <c r="U39" s="42">
        <f>VLOOKUP($E39,'0. Mã Supplier'!$B:$F,5,0)</f>
        <v>0</v>
      </c>
      <c r="V39" s="53">
        <f t="shared" si="2"/>
        <v>45709</v>
      </c>
      <c r="W39" s="56">
        <f t="shared" si="10"/>
        <v>8</v>
      </c>
      <c r="X39" s="47">
        <f t="shared" si="20"/>
        <v>2</v>
      </c>
      <c r="Y39" s="47">
        <f t="shared" si="12"/>
        <v>2025</v>
      </c>
      <c r="Z39" s="42" t="s">
        <v>261</v>
      </c>
      <c r="AA39" s="74">
        <f t="shared" ca="1" si="13"/>
        <v>0</v>
      </c>
      <c r="AB39" s="73">
        <f t="shared" si="21"/>
        <v>2918916</v>
      </c>
      <c r="AC39" s="75"/>
      <c r="AD39" s="76">
        <f t="shared" si="14"/>
        <v>0</v>
      </c>
    </row>
    <row r="40" spans="1:30" s="42" customFormat="1">
      <c r="A40" s="42" t="s">
        <v>292</v>
      </c>
      <c r="B40" s="42" t="s">
        <v>46</v>
      </c>
      <c r="C40" s="42" t="str">
        <f>VLOOKUP(B40,'1. Master Data'!$C:$K,9,0)</f>
        <v>Bộ Chăn ga Xơ đũi 4CT (ga phủ, chăn chần) Gấu, lá cây</v>
      </c>
      <c r="D40" s="42" t="str">
        <f>VLOOKUP(E40,'0. Mã Supplier'!$B:$C,2,0)</f>
        <v>SUVN0001</v>
      </c>
      <c r="E40" s="42" t="s">
        <v>107</v>
      </c>
      <c r="F40" s="42" t="s">
        <v>293</v>
      </c>
      <c r="G40" s="42">
        <v>1</v>
      </c>
      <c r="H40" s="73">
        <v>1</v>
      </c>
      <c r="I40" s="73">
        <f>VLOOKUP($B40,'1. Master Data'!$C:$AB,26,0)</f>
        <v>207900</v>
      </c>
      <c r="J40" s="73">
        <f t="shared" si="5"/>
        <v>207900</v>
      </c>
      <c r="K40" s="73">
        <f t="shared" si="6"/>
        <v>224532.00000000003</v>
      </c>
      <c r="N40" s="43">
        <v>45658</v>
      </c>
      <c r="O40" s="55">
        <f t="shared" si="7"/>
        <v>45658</v>
      </c>
      <c r="P40" s="42">
        <f t="shared" si="18"/>
        <v>1</v>
      </c>
      <c r="Q40" s="42">
        <f t="shared" si="19"/>
        <v>2025</v>
      </c>
      <c r="R40" s="42" t="s">
        <v>291</v>
      </c>
      <c r="T40" s="43">
        <v>45709</v>
      </c>
      <c r="U40" s="42">
        <f>VLOOKUP($E40,'0. Mã Supplier'!$B:$F,5,0)</f>
        <v>0</v>
      </c>
      <c r="V40" s="53">
        <f t="shared" si="2"/>
        <v>45709</v>
      </c>
      <c r="W40" s="56">
        <f t="shared" si="10"/>
        <v>8</v>
      </c>
      <c r="X40" s="47">
        <f t="shared" si="20"/>
        <v>2</v>
      </c>
      <c r="Y40" s="47">
        <f t="shared" si="12"/>
        <v>2025</v>
      </c>
      <c r="Z40" s="42" t="s">
        <v>261</v>
      </c>
      <c r="AA40" s="74">
        <f t="shared" ca="1" si="13"/>
        <v>0</v>
      </c>
      <c r="AB40" s="73">
        <f t="shared" si="21"/>
        <v>224532.00000000003</v>
      </c>
      <c r="AC40" s="75"/>
      <c r="AD40" s="76">
        <f t="shared" si="14"/>
        <v>0</v>
      </c>
    </row>
    <row r="41" spans="1:30" s="42" customFormat="1">
      <c r="A41" s="42" t="s">
        <v>292</v>
      </c>
      <c r="B41" s="42" t="s">
        <v>47</v>
      </c>
      <c r="C41" s="42" t="str">
        <f>VLOOKUP(B41,'1. Master Data'!$C:$K,9,0)</f>
        <v>Bộ Chăn ga Xơ đũi 4CT (ga phủ, chăn chần) Cừu nâu</v>
      </c>
      <c r="D41" s="42" t="str">
        <f>VLOOKUP(E41,'0. Mã Supplier'!$B:$C,2,0)</f>
        <v>SUVN0001</v>
      </c>
      <c r="E41" s="42" t="s">
        <v>107</v>
      </c>
      <c r="F41" s="42" t="s">
        <v>293</v>
      </c>
      <c r="G41" s="42">
        <v>2</v>
      </c>
      <c r="H41" s="73">
        <v>2</v>
      </c>
      <c r="I41" s="73">
        <f>VLOOKUP($B41,'1. Master Data'!$C:$AB,26,0)</f>
        <v>207900</v>
      </c>
      <c r="J41" s="73">
        <f t="shared" si="5"/>
        <v>415800</v>
      </c>
      <c r="K41" s="73">
        <f t="shared" si="6"/>
        <v>449064.00000000006</v>
      </c>
      <c r="N41" s="43">
        <v>45658</v>
      </c>
      <c r="O41" s="55">
        <f t="shared" si="7"/>
        <v>45658</v>
      </c>
      <c r="P41" s="42">
        <f t="shared" si="18"/>
        <v>1</v>
      </c>
      <c r="Q41" s="42">
        <f t="shared" si="19"/>
        <v>2025</v>
      </c>
      <c r="R41" s="42" t="s">
        <v>291</v>
      </c>
      <c r="T41" s="43">
        <v>45709</v>
      </c>
      <c r="U41" s="42">
        <f>VLOOKUP($E41,'0. Mã Supplier'!$B:$F,5,0)</f>
        <v>0</v>
      </c>
      <c r="V41" s="53">
        <f t="shared" si="2"/>
        <v>45709</v>
      </c>
      <c r="W41" s="56">
        <f t="shared" si="10"/>
        <v>8</v>
      </c>
      <c r="X41" s="47">
        <f t="shared" si="20"/>
        <v>2</v>
      </c>
      <c r="Y41" s="47">
        <f t="shared" si="12"/>
        <v>2025</v>
      </c>
      <c r="Z41" s="42" t="s">
        <v>261</v>
      </c>
      <c r="AA41" s="74">
        <f t="shared" ca="1" si="13"/>
        <v>0</v>
      </c>
      <c r="AB41" s="73">
        <f t="shared" si="21"/>
        <v>449064.00000000006</v>
      </c>
      <c r="AC41" s="75"/>
      <c r="AD41" s="76">
        <f t="shared" si="14"/>
        <v>0</v>
      </c>
    </row>
    <row r="42" spans="1:30" s="42" customFormat="1">
      <c r="A42" s="42" t="s">
        <v>292</v>
      </c>
      <c r="B42" s="42" t="s">
        <v>48</v>
      </c>
      <c r="C42" s="42" t="str">
        <f>VLOOKUP(B42,'1. Master Data'!$C:$K,9,0)</f>
        <v>Bộ Chăn ga phủ vỏ chăn 4CT Mẫu 1</v>
      </c>
      <c r="D42" s="42" t="str">
        <f>VLOOKUP(E42,'0. Mã Supplier'!$B:$C,2,0)</f>
        <v>SUVN0001</v>
      </c>
      <c r="E42" s="42" t="s">
        <v>107</v>
      </c>
      <c r="F42" s="42" t="s">
        <v>293</v>
      </c>
      <c r="G42" s="42">
        <v>4</v>
      </c>
      <c r="H42" s="73">
        <v>4</v>
      </c>
      <c r="I42" s="73">
        <f>VLOOKUP($B42,'1. Master Data'!$C:$AB,26,0)</f>
        <v>199100</v>
      </c>
      <c r="J42" s="73">
        <f t="shared" si="5"/>
        <v>796400</v>
      </c>
      <c r="K42" s="73">
        <f t="shared" si="6"/>
        <v>860112</v>
      </c>
      <c r="N42" s="43">
        <v>45658</v>
      </c>
      <c r="O42" s="55">
        <f t="shared" si="7"/>
        <v>45658</v>
      </c>
      <c r="P42" s="42">
        <f t="shared" si="18"/>
        <v>1</v>
      </c>
      <c r="Q42" s="42">
        <f t="shared" si="19"/>
        <v>2025</v>
      </c>
      <c r="R42" s="42" t="s">
        <v>291</v>
      </c>
      <c r="T42" s="43">
        <v>45709</v>
      </c>
      <c r="U42" s="42">
        <f>VLOOKUP($E42,'0. Mã Supplier'!$B:$F,5,0)</f>
        <v>0</v>
      </c>
      <c r="V42" s="53">
        <f t="shared" si="2"/>
        <v>45709</v>
      </c>
      <c r="W42" s="56">
        <f t="shared" si="10"/>
        <v>8</v>
      </c>
      <c r="X42" s="47">
        <f t="shared" si="20"/>
        <v>2</v>
      </c>
      <c r="Y42" s="47">
        <f t="shared" si="12"/>
        <v>2025</v>
      </c>
      <c r="Z42" s="42" t="s">
        <v>261</v>
      </c>
      <c r="AA42" s="74">
        <f t="shared" ca="1" si="13"/>
        <v>0</v>
      </c>
      <c r="AB42" s="73">
        <f t="shared" si="21"/>
        <v>860112</v>
      </c>
      <c r="AC42" s="75"/>
      <c r="AD42" s="76">
        <f t="shared" si="14"/>
        <v>0</v>
      </c>
    </row>
    <row r="43" spans="1:30" s="42" customFormat="1">
      <c r="A43" s="42" t="s">
        <v>292</v>
      </c>
      <c r="B43" s="42" t="s">
        <v>49</v>
      </c>
      <c r="C43" s="42" t="str">
        <f>VLOOKUP(B43,'1. Master Data'!$C:$K,9,0)</f>
        <v>Bộ Chăn ga phủ vỏ chăn 4CT Mẫu 2</v>
      </c>
      <c r="D43" s="42" t="str">
        <f>VLOOKUP(E43,'0. Mã Supplier'!$B:$C,2,0)</f>
        <v>SUVN0001</v>
      </c>
      <c r="E43" s="42" t="s">
        <v>107</v>
      </c>
      <c r="F43" s="42" t="s">
        <v>293</v>
      </c>
      <c r="G43" s="42">
        <v>1</v>
      </c>
      <c r="H43" s="73">
        <v>1</v>
      </c>
      <c r="I43" s="73">
        <f>VLOOKUP($B43,'1. Master Data'!$C:$AB,26,0)</f>
        <v>199100</v>
      </c>
      <c r="J43" s="73">
        <f t="shared" si="5"/>
        <v>199100</v>
      </c>
      <c r="K43" s="73">
        <f t="shared" si="6"/>
        <v>215028</v>
      </c>
      <c r="N43" s="43">
        <v>45658</v>
      </c>
      <c r="O43" s="55">
        <f t="shared" si="7"/>
        <v>45658</v>
      </c>
      <c r="P43" s="42">
        <f t="shared" si="18"/>
        <v>1</v>
      </c>
      <c r="Q43" s="42">
        <f t="shared" si="19"/>
        <v>2025</v>
      </c>
      <c r="R43" s="42" t="s">
        <v>291</v>
      </c>
      <c r="T43" s="43">
        <v>45709</v>
      </c>
      <c r="U43" s="42">
        <f>VLOOKUP($E43,'0. Mã Supplier'!$B:$F,5,0)</f>
        <v>0</v>
      </c>
      <c r="V43" s="53">
        <f t="shared" si="2"/>
        <v>45709</v>
      </c>
      <c r="W43" s="56">
        <f t="shared" si="10"/>
        <v>8</v>
      </c>
      <c r="X43" s="47">
        <f t="shared" si="20"/>
        <v>2</v>
      </c>
      <c r="Y43" s="47">
        <f t="shared" si="12"/>
        <v>2025</v>
      </c>
      <c r="Z43" s="42" t="s">
        <v>261</v>
      </c>
      <c r="AA43" s="74">
        <f t="shared" ca="1" si="13"/>
        <v>0</v>
      </c>
      <c r="AB43" s="73">
        <f t="shared" si="21"/>
        <v>215028</v>
      </c>
      <c r="AC43" s="75"/>
      <c r="AD43" s="76">
        <f t="shared" si="14"/>
        <v>0</v>
      </c>
    </row>
    <row r="44" spans="1:30" s="42" customFormat="1">
      <c r="A44" s="42" t="s">
        <v>292</v>
      </c>
      <c r="B44" s="42" t="s">
        <v>50</v>
      </c>
      <c r="C44" s="42" t="str">
        <f>VLOOKUP(B44,'1. Master Data'!$C:$K,9,0)</f>
        <v>Bộ Chăn ga phủ vỏ chăn 4CT Mẫu 3</v>
      </c>
      <c r="D44" s="42" t="str">
        <f>VLOOKUP(E44,'0. Mã Supplier'!$B:$C,2,0)</f>
        <v>SUVN0001</v>
      </c>
      <c r="E44" s="42" t="s">
        <v>107</v>
      </c>
      <c r="F44" s="42" t="s">
        <v>293</v>
      </c>
      <c r="G44" s="42">
        <v>1</v>
      </c>
      <c r="H44" s="73">
        <v>1</v>
      </c>
      <c r="I44" s="73">
        <f>VLOOKUP($B44,'1. Master Data'!$C:$AB,26,0)</f>
        <v>199100</v>
      </c>
      <c r="J44" s="73">
        <f t="shared" si="5"/>
        <v>199100</v>
      </c>
      <c r="K44" s="73">
        <f t="shared" si="6"/>
        <v>215028</v>
      </c>
      <c r="N44" s="43">
        <v>45658</v>
      </c>
      <c r="O44" s="55">
        <f t="shared" si="7"/>
        <v>45658</v>
      </c>
      <c r="P44" s="42">
        <f t="shared" si="18"/>
        <v>1</v>
      </c>
      <c r="Q44" s="42">
        <f t="shared" si="19"/>
        <v>2025</v>
      </c>
      <c r="R44" s="42" t="s">
        <v>291</v>
      </c>
      <c r="T44" s="43">
        <v>45709</v>
      </c>
      <c r="U44" s="42">
        <f>VLOOKUP($E44,'0. Mã Supplier'!$B:$F,5,0)</f>
        <v>0</v>
      </c>
      <c r="V44" s="53">
        <f t="shared" si="2"/>
        <v>45709</v>
      </c>
      <c r="W44" s="56">
        <f t="shared" si="10"/>
        <v>8</v>
      </c>
      <c r="X44" s="47">
        <f t="shared" si="20"/>
        <v>2</v>
      </c>
      <c r="Y44" s="47">
        <f t="shared" si="12"/>
        <v>2025</v>
      </c>
      <c r="Z44" s="42" t="s">
        <v>261</v>
      </c>
      <c r="AA44" s="74">
        <f t="shared" ca="1" si="13"/>
        <v>0</v>
      </c>
      <c r="AB44" s="73">
        <f t="shared" si="21"/>
        <v>215028</v>
      </c>
      <c r="AC44" s="75"/>
      <c r="AD44" s="76">
        <f t="shared" si="14"/>
        <v>0</v>
      </c>
    </row>
    <row r="45" spans="1:30" s="42" customFormat="1">
      <c r="A45" s="42" t="s">
        <v>292</v>
      </c>
      <c r="B45" s="42" t="s">
        <v>51</v>
      </c>
      <c r="C45" s="42" t="str">
        <f>VLOOKUP(B45,'1. Master Data'!$C:$K,9,0)</f>
        <v>Bộ Chăn ga phủ vỏ chăn 4CT Mẫu 4</v>
      </c>
      <c r="D45" s="42" t="str">
        <f>VLOOKUP(E45,'0. Mã Supplier'!$B:$C,2,0)</f>
        <v>SUVN0001</v>
      </c>
      <c r="E45" s="42" t="s">
        <v>107</v>
      </c>
      <c r="F45" s="42" t="s">
        <v>293</v>
      </c>
      <c r="G45" s="42">
        <v>2</v>
      </c>
      <c r="H45" s="73">
        <v>2</v>
      </c>
      <c r="I45" s="73">
        <f>VLOOKUP($B45,'1. Master Data'!$C:$AB,26,0)</f>
        <v>199100</v>
      </c>
      <c r="J45" s="73">
        <f t="shared" si="5"/>
        <v>398200</v>
      </c>
      <c r="K45" s="73">
        <f t="shared" si="6"/>
        <v>430056</v>
      </c>
      <c r="N45" s="43">
        <v>45658</v>
      </c>
      <c r="O45" s="55">
        <f t="shared" si="7"/>
        <v>45658</v>
      </c>
      <c r="P45" s="42">
        <f t="shared" si="18"/>
        <v>1</v>
      </c>
      <c r="Q45" s="42">
        <f t="shared" si="19"/>
        <v>2025</v>
      </c>
      <c r="R45" s="42" t="s">
        <v>291</v>
      </c>
      <c r="T45" s="43">
        <v>45709</v>
      </c>
      <c r="U45" s="42">
        <f>VLOOKUP($E45,'0. Mã Supplier'!$B:$F,5,0)</f>
        <v>0</v>
      </c>
      <c r="V45" s="53">
        <f t="shared" si="2"/>
        <v>45709</v>
      </c>
      <c r="W45" s="56">
        <f t="shared" si="10"/>
        <v>8</v>
      </c>
      <c r="X45" s="47">
        <f t="shared" si="20"/>
        <v>2</v>
      </c>
      <c r="Y45" s="47">
        <f t="shared" si="12"/>
        <v>2025</v>
      </c>
      <c r="Z45" s="42" t="s">
        <v>261</v>
      </c>
      <c r="AA45" s="74">
        <f t="shared" ca="1" si="13"/>
        <v>0</v>
      </c>
      <c r="AB45" s="73">
        <f t="shared" si="21"/>
        <v>430056</v>
      </c>
      <c r="AC45" s="75"/>
      <c r="AD45" s="76">
        <f t="shared" si="14"/>
        <v>0</v>
      </c>
    </row>
    <row r="46" spans="1:30" s="42" customFormat="1">
      <c r="A46" s="42" t="s">
        <v>292</v>
      </c>
      <c r="B46" s="42" t="s">
        <v>52</v>
      </c>
      <c r="C46" s="42" t="str">
        <f>VLOOKUP(B46,'1. Master Data'!$C:$K,9,0)</f>
        <v>Bộ Chăn ga phủ vỏ chăn 4CT Mẫu 5</v>
      </c>
      <c r="D46" s="42" t="str">
        <f>VLOOKUP(E46,'0. Mã Supplier'!$B:$C,2,0)</f>
        <v>SUVN0001</v>
      </c>
      <c r="E46" s="42" t="s">
        <v>107</v>
      </c>
      <c r="F46" s="42" t="s">
        <v>293</v>
      </c>
      <c r="G46" s="42">
        <v>8</v>
      </c>
      <c r="H46" s="73">
        <v>8</v>
      </c>
      <c r="I46" s="73">
        <f>VLOOKUP($B46,'1. Master Data'!$C:$AB,26,0)</f>
        <v>199100</v>
      </c>
      <c r="J46" s="73">
        <f t="shared" si="5"/>
        <v>1592800</v>
      </c>
      <c r="K46" s="73">
        <f t="shared" si="6"/>
        <v>1720224</v>
      </c>
      <c r="N46" s="43">
        <v>45658</v>
      </c>
      <c r="O46" s="55">
        <f t="shared" si="7"/>
        <v>45658</v>
      </c>
      <c r="P46" s="42">
        <f t="shared" si="18"/>
        <v>1</v>
      </c>
      <c r="Q46" s="42">
        <f t="shared" si="19"/>
        <v>2025</v>
      </c>
      <c r="R46" s="42" t="s">
        <v>291</v>
      </c>
      <c r="T46" s="43">
        <v>45709</v>
      </c>
      <c r="U46" s="42">
        <f>VLOOKUP($E46,'0. Mã Supplier'!$B:$F,5,0)</f>
        <v>0</v>
      </c>
      <c r="V46" s="53">
        <f t="shared" si="2"/>
        <v>45709</v>
      </c>
      <c r="W46" s="56">
        <f t="shared" si="10"/>
        <v>8</v>
      </c>
      <c r="X46" s="47">
        <f t="shared" si="20"/>
        <v>2</v>
      </c>
      <c r="Y46" s="47">
        <f t="shared" si="12"/>
        <v>2025</v>
      </c>
      <c r="Z46" s="42" t="s">
        <v>261</v>
      </c>
      <c r="AA46" s="74">
        <f t="shared" ca="1" si="13"/>
        <v>0</v>
      </c>
      <c r="AB46" s="73">
        <f t="shared" si="21"/>
        <v>1720224</v>
      </c>
      <c r="AC46" s="75"/>
      <c r="AD46" s="76">
        <f t="shared" si="14"/>
        <v>0</v>
      </c>
    </row>
    <row r="47" spans="1:30" s="42" customFormat="1">
      <c r="A47" s="42" t="s">
        <v>292</v>
      </c>
      <c r="B47" s="42" t="s">
        <v>53</v>
      </c>
      <c r="C47" s="42" t="str">
        <f>VLOOKUP(B47,'1. Master Data'!$C:$K,9,0)</f>
        <v>Bộ Chăn ga phủ vỏ chăn 4CT Mẫu 6</v>
      </c>
      <c r="D47" s="42" t="str">
        <f>VLOOKUP(E47,'0. Mã Supplier'!$B:$C,2,0)</f>
        <v>SUVN0001</v>
      </c>
      <c r="E47" s="42" t="s">
        <v>107</v>
      </c>
      <c r="F47" s="42" t="s">
        <v>293</v>
      </c>
      <c r="G47" s="42">
        <v>4</v>
      </c>
      <c r="H47" s="73">
        <v>4</v>
      </c>
      <c r="I47" s="73">
        <f>VLOOKUP($B47,'1. Master Data'!$C:$AB,26,0)</f>
        <v>199100</v>
      </c>
      <c r="J47" s="73">
        <f t="shared" si="5"/>
        <v>796400</v>
      </c>
      <c r="K47" s="73">
        <f t="shared" si="6"/>
        <v>860112</v>
      </c>
      <c r="N47" s="43">
        <v>45658</v>
      </c>
      <c r="O47" s="55">
        <f t="shared" si="7"/>
        <v>45658</v>
      </c>
      <c r="P47" s="42">
        <f t="shared" si="18"/>
        <v>1</v>
      </c>
      <c r="Q47" s="42">
        <f t="shared" si="19"/>
        <v>2025</v>
      </c>
      <c r="R47" s="42" t="s">
        <v>291</v>
      </c>
      <c r="T47" s="43">
        <v>45709</v>
      </c>
      <c r="U47" s="42">
        <f>VLOOKUP($E47,'0. Mã Supplier'!$B:$F,5,0)</f>
        <v>0</v>
      </c>
      <c r="V47" s="53">
        <f t="shared" si="2"/>
        <v>45709</v>
      </c>
      <c r="W47" s="56">
        <f t="shared" si="10"/>
        <v>8</v>
      </c>
      <c r="X47" s="47">
        <f t="shared" si="20"/>
        <v>2</v>
      </c>
      <c r="Y47" s="47">
        <f t="shared" si="12"/>
        <v>2025</v>
      </c>
      <c r="Z47" s="42" t="s">
        <v>261</v>
      </c>
      <c r="AA47" s="74">
        <f t="shared" ca="1" si="13"/>
        <v>0</v>
      </c>
      <c r="AB47" s="73">
        <f t="shared" si="21"/>
        <v>860112</v>
      </c>
      <c r="AC47" s="75"/>
      <c r="AD47" s="76">
        <f t="shared" si="14"/>
        <v>0</v>
      </c>
    </row>
    <row r="48" spans="1:30">
      <c r="A48" t="s">
        <v>294</v>
      </c>
      <c r="B48" t="s">
        <v>67</v>
      </c>
      <c r="C48" t="str">
        <f>VLOOKUP(B48,'1. Master Data'!$C:$K,9,0)</f>
        <v>Chăn Lạnh 4.8 Xanh dương pastel 200 x 230 cm, Vải cooling mát lạnh</v>
      </c>
      <c r="D48" t="str">
        <f>VLOOKUP(E48,'0. Mã Supplier'!$B:$C,2,0)</f>
        <v>SUVN0001</v>
      </c>
      <c r="E48" t="s">
        <v>107</v>
      </c>
      <c r="F48" t="s">
        <v>290</v>
      </c>
      <c r="G48">
        <v>3</v>
      </c>
      <c r="H48" s="1">
        <v>3</v>
      </c>
      <c r="I48" s="1">
        <f>VLOOKUP($B48,'1. Master Data'!$C:$AB,26,0)</f>
        <v>280000</v>
      </c>
      <c r="J48" s="1">
        <f t="shared" si="5"/>
        <v>840000</v>
      </c>
      <c r="K48" s="1">
        <f t="shared" si="6"/>
        <v>907200.00000000012</v>
      </c>
      <c r="N48" s="24">
        <v>45689</v>
      </c>
      <c r="O48" s="54">
        <f t="shared" si="7"/>
        <v>45689</v>
      </c>
      <c r="P48">
        <f t="shared" si="18"/>
        <v>2</v>
      </c>
      <c r="Q48">
        <f t="shared" si="19"/>
        <v>2025</v>
      </c>
      <c r="R48" t="s">
        <v>291</v>
      </c>
      <c r="T48" s="43">
        <v>45710</v>
      </c>
      <c r="U48">
        <f>VLOOKUP($E48,'0. Mã Supplier'!$B:$F,5,0)</f>
        <v>0</v>
      </c>
      <c r="V48" s="53">
        <f t="shared" si="2"/>
        <v>45710</v>
      </c>
      <c r="W48" s="56">
        <f t="shared" si="10"/>
        <v>8</v>
      </c>
      <c r="X48" s="47">
        <f t="shared" si="20"/>
        <v>2</v>
      </c>
      <c r="Y48" s="47">
        <f t="shared" si="12"/>
        <v>2025</v>
      </c>
      <c r="Z48" t="s">
        <v>261</v>
      </c>
      <c r="AA48" s="45">
        <f t="shared" ca="1" si="13"/>
        <v>0</v>
      </c>
      <c r="AB48" s="1">
        <f t="shared" si="21"/>
        <v>907200.00000000012</v>
      </c>
      <c r="AD48" s="2">
        <f t="shared" si="14"/>
        <v>0</v>
      </c>
    </row>
    <row r="49" spans="1:30">
      <c r="A49" t="s">
        <v>294</v>
      </c>
      <c r="B49" t="s">
        <v>69</v>
      </c>
      <c r="C49" t="str">
        <f>VLOOKUP(B49,'1. Master Data'!$C:$K,9,0)</f>
        <v>Chăn Lạnh 4.8 Tím hoa cà 200 x 230 cm, Vải cooling mát lạnh</v>
      </c>
      <c r="D49" t="str">
        <f>VLOOKUP(E49,'0. Mã Supplier'!$B:$C,2,0)</f>
        <v>SUVN0001</v>
      </c>
      <c r="E49" t="s">
        <v>107</v>
      </c>
      <c r="F49" t="s">
        <v>290</v>
      </c>
      <c r="G49">
        <v>2</v>
      </c>
      <c r="H49" s="1">
        <v>2</v>
      </c>
      <c r="I49" s="1">
        <f>VLOOKUP($B49,'1. Master Data'!$C:$AB,26,0)</f>
        <v>280000</v>
      </c>
      <c r="J49" s="1">
        <f t="shared" si="5"/>
        <v>560000</v>
      </c>
      <c r="K49" s="1">
        <f t="shared" si="6"/>
        <v>604800</v>
      </c>
      <c r="N49" s="24">
        <v>45689</v>
      </c>
      <c r="O49" s="54">
        <f t="shared" si="7"/>
        <v>45689</v>
      </c>
      <c r="P49">
        <f t="shared" si="18"/>
        <v>2</v>
      </c>
      <c r="Q49">
        <f t="shared" si="19"/>
        <v>2025</v>
      </c>
      <c r="R49" t="s">
        <v>291</v>
      </c>
      <c r="T49" s="43">
        <v>45710</v>
      </c>
      <c r="U49">
        <f>VLOOKUP($E49,'0. Mã Supplier'!$B:$F,5,0)</f>
        <v>0</v>
      </c>
      <c r="V49" s="53">
        <f t="shared" si="2"/>
        <v>45710</v>
      </c>
      <c r="W49" s="56">
        <f t="shared" si="10"/>
        <v>8</v>
      </c>
      <c r="X49" s="47">
        <f t="shared" si="20"/>
        <v>2</v>
      </c>
      <c r="Y49" s="47">
        <f t="shared" si="12"/>
        <v>2025</v>
      </c>
      <c r="Z49" t="s">
        <v>261</v>
      </c>
      <c r="AA49" s="45">
        <f t="shared" ca="1" si="13"/>
        <v>0</v>
      </c>
      <c r="AB49" s="1">
        <f t="shared" si="21"/>
        <v>604800</v>
      </c>
      <c r="AD49" s="2">
        <f t="shared" si="14"/>
        <v>0</v>
      </c>
    </row>
    <row r="50" spans="1:30">
      <c r="A50" t="s">
        <v>294</v>
      </c>
      <c r="B50" t="s">
        <v>46</v>
      </c>
      <c r="C50" t="str">
        <f>VLOOKUP(B50,'1. Master Data'!$C:$K,9,0)</f>
        <v>Bộ Chăn ga Xơ đũi 4CT (ga phủ, chăn chần) Gấu, lá cây</v>
      </c>
      <c r="D50" t="str">
        <f>VLOOKUP(E50,'0. Mã Supplier'!$B:$C,2,0)</f>
        <v>SUVN0001</v>
      </c>
      <c r="E50" t="s">
        <v>107</v>
      </c>
      <c r="F50" t="s">
        <v>293</v>
      </c>
      <c r="G50">
        <v>3</v>
      </c>
      <c r="H50" s="1">
        <v>3</v>
      </c>
      <c r="I50" s="1">
        <f>VLOOKUP($B50,'1. Master Data'!$C:$AB,26,0)</f>
        <v>207900</v>
      </c>
      <c r="J50" s="1">
        <f t="shared" si="5"/>
        <v>623700</v>
      </c>
      <c r="K50" s="1">
        <f t="shared" si="6"/>
        <v>673596</v>
      </c>
      <c r="N50" s="24">
        <v>45689</v>
      </c>
      <c r="O50" s="54">
        <f t="shared" si="7"/>
        <v>45689</v>
      </c>
      <c r="P50">
        <f t="shared" si="18"/>
        <v>2</v>
      </c>
      <c r="Q50">
        <f t="shared" si="19"/>
        <v>2025</v>
      </c>
      <c r="R50" t="s">
        <v>291</v>
      </c>
      <c r="T50" s="43">
        <v>45710</v>
      </c>
      <c r="U50">
        <f>VLOOKUP($E50,'0. Mã Supplier'!$B:$F,5,0)</f>
        <v>0</v>
      </c>
      <c r="V50" s="53">
        <f t="shared" si="2"/>
        <v>45710</v>
      </c>
      <c r="W50" s="56">
        <f t="shared" si="10"/>
        <v>8</v>
      </c>
      <c r="X50" s="47">
        <f t="shared" si="20"/>
        <v>2</v>
      </c>
      <c r="Y50" s="47">
        <f t="shared" si="12"/>
        <v>2025</v>
      </c>
      <c r="Z50" t="s">
        <v>261</v>
      </c>
      <c r="AA50" s="45">
        <f t="shared" ca="1" si="13"/>
        <v>0</v>
      </c>
      <c r="AB50" s="1">
        <f t="shared" si="21"/>
        <v>673596</v>
      </c>
      <c r="AD50" s="2">
        <f t="shared" si="14"/>
        <v>0</v>
      </c>
    </row>
    <row r="51" spans="1:30">
      <c r="A51" t="s">
        <v>294</v>
      </c>
      <c r="B51" t="s">
        <v>47</v>
      </c>
      <c r="C51" t="str">
        <f>VLOOKUP(B51,'1. Master Data'!$C:$K,9,0)</f>
        <v>Bộ Chăn ga Xơ đũi 4CT (ga phủ, chăn chần) Cừu nâu</v>
      </c>
      <c r="D51" t="str">
        <f>VLOOKUP(E51,'0. Mã Supplier'!$B:$C,2,0)</f>
        <v>SUVN0001</v>
      </c>
      <c r="E51" t="s">
        <v>107</v>
      </c>
      <c r="F51" t="s">
        <v>293</v>
      </c>
      <c r="G51">
        <v>4</v>
      </c>
      <c r="H51" s="1">
        <v>4</v>
      </c>
      <c r="I51" s="1">
        <f>VLOOKUP($B51,'1. Master Data'!$C:$AB,26,0)</f>
        <v>207900</v>
      </c>
      <c r="J51" s="1">
        <f t="shared" si="5"/>
        <v>831600</v>
      </c>
      <c r="K51" s="1">
        <f t="shared" si="6"/>
        <v>898128.00000000012</v>
      </c>
      <c r="N51" s="24">
        <v>45689</v>
      </c>
      <c r="O51" s="54">
        <f t="shared" si="7"/>
        <v>45689</v>
      </c>
      <c r="P51">
        <f t="shared" si="18"/>
        <v>2</v>
      </c>
      <c r="Q51">
        <f t="shared" si="19"/>
        <v>2025</v>
      </c>
      <c r="R51" t="s">
        <v>291</v>
      </c>
      <c r="T51" s="43">
        <v>45710</v>
      </c>
      <c r="U51">
        <f>VLOOKUP($E51,'0. Mã Supplier'!$B:$F,5,0)</f>
        <v>0</v>
      </c>
      <c r="V51" s="53">
        <f t="shared" si="2"/>
        <v>45710</v>
      </c>
      <c r="W51" s="56">
        <f t="shared" si="10"/>
        <v>8</v>
      </c>
      <c r="X51" s="47">
        <f t="shared" si="20"/>
        <v>2</v>
      </c>
      <c r="Y51" s="47">
        <f t="shared" si="12"/>
        <v>2025</v>
      </c>
      <c r="Z51" t="s">
        <v>261</v>
      </c>
      <c r="AA51" s="45">
        <f t="shared" ca="1" si="13"/>
        <v>0</v>
      </c>
      <c r="AB51" s="1">
        <f t="shared" si="21"/>
        <v>898128.00000000012</v>
      </c>
      <c r="AD51" s="2">
        <f t="shared" si="14"/>
        <v>0</v>
      </c>
    </row>
    <row r="52" spans="1:30">
      <c r="A52" t="s">
        <v>294</v>
      </c>
      <c r="B52" t="s">
        <v>48</v>
      </c>
      <c r="C52" t="str">
        <f>VLOOKUP(B52,'1. Master Data'!$C:$K,9,0)</f>
        <v>Bộ Chăn ga phủ vỏ chăn 4CT Mẫu 1</v>
      </c>
      <c r="D52" t="str">
        <f>VLOOKUP(E52,'0. Mã Supplier'!$B:$C,2,0)</f>
        <v>SUVN0001</v>
      </c>
      <c r="E52" t="s">
        <v>107</v>
      </c>
      <c r="F52" t="s">
        <v>293</v>
      </c>
      <c r="G52">
        <v>2</v>
      </c>
      <c r="H52" s="1">
        <v>2</v>
      </c>
      <c r="I52" s="1">
        <f>VLOOKUP($B52,'1. Master Data'!$C:$AB,26,0)</f>
        <v>199100</v>
      </c>
      <c r="J52" s="1">
        <f t="shared" si="5"/>
        <v>398200</v>
      </c>
      <c r="K52" s="1">
        <f t="shared" si="6"/>
        <v>430056</v>
      </c>
      <c r="N52" s="24">
        <v>45689</v>
      </c>
      <c r="O52" s="54">
        <f t="shared" si="7"/>
        <v>45689</v>
      </c>
      <c r="P52">
        <f t="shared" si="18"/>
        <v>2</v>
      </c>
      <c r="Q52">
        <f t="shared" si="19"/>
        <v>2025</v>
      </c>
      <c r="R52" t="s">
        <v>291</v>
      </c>
      <c r="T52" s="43">
        <v>45710</v>
      </c>
      <c r="U52">
        <f>VLOOKUP($E52,'0. Mã Supplier'!$B:$F,5,0)</f>
        <v>0</v>
      </c>
      <c r="V52" s="53">
        <f t="shared" si="2"/>
        <v>45710</v>
      </c>
      <c r="W52" s="56">
        <f t="shared" si="10"/>
        <v>8</v>
      </c>
      <c r="X52" s="47">
        <f t="shared" si="20"/>
        <v>2</v>
      </c>
      <c r="Y52" s="47">
        <f t="shared" si="12"/>
        <v>2025</v>
      </c>
      <c r="Z52" t="s">
        <v>261</v>
      </c>
      <c r="AA52" s="45">
        <f t="shared" ca="1" si="13"/>
        <v>0</v>
      </c>
      <c r="AB52" s="1">
        <f t="shared" si="21"/>
        <v>430056</v>
      </c>
      <c r="AD52" s="2">
        <f t="shared" si="14"/>
        <v>0</v>
      </c>
    </row>
    <row r="53" spans="1:30">
      <c r="A53" t="s">
        <v>294</v>
      </c>
      <c r="B53" t="s">
        <v>50</v>
      </c>
      <c r="C53" t="str">
        <f>VLOOKUP(B53,'1. Master Data'!$C:$K,9,0)</f>
        <v>Bộ Chăn ga phủ vỏ chăn 4CT Mẫu 3</v>
      </c>
      <c r="D53" t="str">
        <f>VLOOKUP(E53,'0. Mã Supplier'!$B:$C,2,0)</f>
        <v>SUVN0001</v>
      </c>
      <c r="E53" t="s">
        <v>107</v>
      </c>
      <c r="F53" t="s">
        <v>293</v>
      </c>
      <c r="G53">
        <v>2</v>
      </c>
      <c r="H53" s="1">
        <v>2</v>
      </c>
      <c r="I53" s="1">
        <f>VLOOKUP($B53,'1. Master Data'!$C:$AB,26,0)</f>
        <v>199100</v>
      </c>
      <c r="J53" s="1">
        <f t="shared" si="5"/>
        <v>398200</v>
      </c>
      <c r="K53" s="1">
        <f t="shared" si="6"/>
        <v>430056</v>
      </c>
      <c r="N53" s="24">
        <v>45689</v>
      </c>
      <c r="O53" s="54">
        <f t="shared" si="7"/>
        <v>45689</v>
      </c>
      <c r="P53">
        <f t="shared" si="18"/>
        <v>2</v>
      </c>
      <c r="Q53">
        <f t="shared" si="19"/>
        <v>2025</v>
      </c>
      <c r="R53" t="s">
        <v>291</v>
      </c>
      <c r="T53" s="43">
        <v>45710</v>
      </c>
      <c r="U53">
        <f>VLOOKUP($E53,'0. Mã Supplier'!$B:$F,5,0)</f>
        <v>0</v>
      </c>
      <c r="V53" s="53">
        <f t="shared" si="2"/>
        <v>45710</v>
      </c>
      <c r="W53" s="56">
        <f t="shared" si="10"/>
        <v>8</v>
      </c>
      <c r="X53" s="47">
        <f t="shared" si="20"/>
        <v>2</v>
      </c>
      <c r="Y53" s="47">
        <f t="shared" si="12"/>
        <v>2025</v>
      </c>
      <c r="Z53" t="s">
        <v>261</v>
      </c>
      <c r="AA53" s="45">
        <f t="shared" ca="1" si="13"/>
        <v>0</v>
      </c>
      <c r="AB53" s="1">
        <f t="shared" si="21"/>
        <v>430056</v>
      </c>
      <c r="AD53" s="2">
        <f t="shared" si="14"/>
        <v>0</v>
      </c>
    </row>
    <row r="54" spans="1:30">
      <c r="A54" t="s">
        <v>294</v>
      </c>
      <c r="B54" t="s">
        <v>51</v>
      </c>
      <c r="C54" t="str">
        <f>VLOOKUP(B54,'1. Master Data'!$C:$K,9,0)</f>
        <v>Bộ Chăn ga phủ vỏ chăn 4CT Mẫu 4</v>
      </c>
      <c r="D54" t="str">
        <f>VLOOKUP(E54,'0. Mã Supplier'!$B:$C,2,0)</f>
        <v>SUVN0001</v>
      </c>
      <c r="E54" t="s">
        <v>107</v>
      </c>
      <c r="F54" t="s">
        <v>293</v>
      </c>
      <c r="G54">
        <v>2</v>
      </c>
      <c r="H54" s="1">
        <v>2</v>
      </c>
      <c r="I54" s="1">
        <f>VLOOKUP($B54,'1. Master Data'!$C:$AB,26,0)</f>
        <v>199100</v>
      </c>
      <c r="J54" s="1">
        <f t="shared" si="5"/>
        <v>398200</v>
      </c>
      <c r="K54" s="1">
        <f t="shared" si="6"/>
        <v>430056</v>
      </c>
      <c r="N54" s="24">
        <v>45689</v>
      </c>
      <c r="O54" s="54">
        <f t="shared" si="7"/>
        <v>45689</v>
      </c>
      <c r="P54">
        <f t="shared" si="18"/>
        <v>2</v>
      </c>
      <c r="Q54">
        <f t="shared" si="19"/>
        <v>2025</v>
      </c>
      <c r="R54" t="s">
        <v>291</v>
      </c>
      <c r="T54" s="43">
        <v>45710</v>
      </c>
      <c r="U54">
        <f>VLOOKUP($E54,'0. Mã Supplier'!$B:$F,5,0)</f>
        <v>0</v>
      </c>
      <c r="V54" s="53">
        <f t="shared" si="2"/>
        <v>45710</v>
      </c>
      <c r="W54" s="56">
        <f t="shared" si="10"/>
        <v>8</v>
      </c>
      <c r="X54" s="47">
        <f t="shared" si="20"/>
        <v>2</v>
      </c>
      <c r="Y54" s="47">
        <f t="shared" si="12"/>
        <v>2025</v>
      </c>
      <c r="Z54" t="s">
        <v>261</v>
      </c>
      <c r="AA54" s="45">
        <f t="shared" ca="1" si="13"/>
        <v>0</v>
      </c>
      <c r="AB54" s="1">
        <f t="shared" si="21"/>
        <v>430056</v>
      </c>
      <c r="AD54" s="2">
        <f t="shared" si="14"/>
        <v>0</v>
      </c>
    </row>
    <row r="55" spans="1:30">
      <c r="A55" t="s">
        <v>294</v>
      </c>
      <c r="B55" t="s">
        <v>52</v>
      </c>
      <c r="C55" t="str">
        <f>VLOOKUP(B55,'1. Master Data'!$C:$K,9,0)</f>
        <v>Bộ Chăn ga phủ vỏ chăn 4CT Mẫu 5</v>
      </c>
      <c r="D55" t="str">
        <f>VLOOKUP(E55,'0. Mã Supplier'!$B:$C,2,0)</f>
        <v>SUVN0001</v>
      </c>
      <c r="E55" t="s">
        <v>107</v>
      </c>
      <c r="F55" t="s">
        <v>293</v>
      </c>
      <c r="G55">
        <v>2</v>
      </c>
      <c r="H55" s="1">
        <v>2</v>
      </c>
      <c r="I55" s="1">
        <f>VLOOKUP($B55,'1. Master Data'!$C:$AB,26,0)</f>
        <v>199100</v>
      </c>
      <c r="J55" s="1">
        <f t="shared" si="5"/>
        <v>398200</v>
      </c>
      <c r="K55" s="1">
        <f t="shared" si="6"/>
        <v>430056</v>
      </c>
      <c r="N55" s="24">
        <v>45689</v>
      </c>
      <c r="O55" s="54">
        <f t="shared" si="7"/>
        <v>45689</v>
      </c>
      <c r="P55">
        <f t="shared" si="18"/>
        <v>2</v>
      </c>
      <c r="Q55">
        <f t="shared" si="19"/>
        <v>2025</v>
      </c>
      <c r="R55" t="s">
        <v>291</v>
      </c>
      <c r="T55" s="43">
        <v>45710</v>
      </c>
      <c r="U55">
        <f>VLOOKUP($E55,'0. Mã Supplier'!$B:$F,5,0)</f>
        <v>0</v>
      </c>
      <c r="V55" s="53">
        <f t="shared" si="2"/>
        <v>45710</v>
      </c>
      <c r="W55" s="56">
        <f t="shared" si="10"/>
        <v>8</v>
      </c>
      <c r="X55" s="47">
        <f t="shared" si="20"/>
        <v>2</v>
      </c>
      <c r="Y55" s="47">
        <f t="shared" si="12"/>
        <v>2025</v>
      </c>
      <c r="Z55" t="s">
        <v>261</v>
      </c>
      <c r="AA55" s="45">
        <f t="shared" ca="1" si="13"/>
        <v>0</v>
      </c>
      <c r="AB55" s="1">
        <f t="shared" si="21"/>
        <v>430056</v>
      </c>
      <c r="AD55" s="2">
        <f t="shared" si="14"/>
        <v>0</v>
      </c>
    </row>
    <row r="56" spans="1:30">
      <c r="A56" t="s">
        <v>294</v>
      </c>
      <c r="B56" t="s">
        <v>53</v>
      </c>
      <c r="C56" t="str">
        <f>VLOOKUP(B56,'1. Master Data'!$C:$K,9,0)</f>
        <v>Bộ Chăn ga phủ vỏ chăn 4CT Mẫu 6</v>
      </c>
      <c r="D56" t="str">
        <f>VLOOKUP(E56,'0. Mã Supplier'!$B:$C,2,0)</f>
        <v>SUVN0001</v>
      </c>
      <c r="E56" t="s">
        <v>107</v>
      </c>
      <c r="F56" t="s">
        <v>293</v>
      </c>
      <c r="G56">
        <v>2</v>
      </c>
      <c r="H56" s="1">
        <v>2</v>
      </c>
      <c r="I56" s="1">
        <f>VLOOKUP($B56,'1. Master Data'!$C:$AB,26,0)</f>
        <v>199100</v>
      </c>
      <c r="J56" s="1">
        <f t="shared" si="5"/>
        <v>398200</v>
      </c>
      <c r="K56" s="1">
        <f t="shared" si="6"/>
        <v>430056</v>
      </c>
      <c r="N56" s="24">
        <v>45689</v>
      </c>
      <c r="O56" s="54">
        <f t="shared" si="7"/>
        <v>45689</v>
      </c>
      <c r="P56">
        <f t="shared" si="18"/>
        <v>2</v>
      </c>
      <c r="Q56">
        <f t="shared" si="19"/>
        <v>2025</v>
      </c>
      <c r="R56" t="s">
        <v>291</v>
      </c>
      <c r="T56" s="43">
        <v>45710</v>
      </c>
      <c r="U56">
        <f>VLOOKUP($E56,'0. Mã Supplier'!$B:$F,5,0)</f>
        <v>0</v>
      </c>
      <c r="V56" s="53">
        <f t="shared" si="2"/>
        <v>45710</v>
      </c>
      <c r="W56" s="56">
        <f t="shared" si="10"/>
        <v>8</v>
      </c>
      <c r="X56" s="47">
        <f t="shared" si="20"/>
        <v>2</v>
      </c>
      <c r="Y56" s="47">
        <f t="shared" si="12"/>
        <v>2025</v>
      </c>
      <c r="Z56" t="s">
        <v>261</v>
      </c>
      <c r="AA56" s="45">
        <f t="shared" ca="1" si="13"/>
        <v>0</v>
      </c>
      <c r="AB56" s="1">
        <f t="shared" si="21"/>
        <v>430056</v>
      </c>
      <c r="AD56" s="2">
        <f t="shared" si="14"/>
        <v>0</v>
      </c>
    </row>
    <row r="57" spans="1:30">
      <c r="A57" t="s">
        <v>295</v>
      </c>
      <c r="B57" t="s">
        <v>81</v>
      </c>
      <c r="C57" t="str">
        <f>VLOOKUP(B57,'1. Master Data'!$C:$K,9,0)</f>
        <v>Chăn Tencel 60s Hồng trắng pastel 200 x 230 cm</v>
      </c>
      <c r="D57" t="str">
        <f>VLOOKUP(E57,'0. Mã Supplier'!$B:$C,2,0)</f>
        <v>SUVN0001</v>
      </c>
      <c r="E57" t="s">
        <v>107</v>
      </c>
      <c r="F57" t="s">
        <v>290</v>
      </c>
      <c r="G57">
        <v>1</v>
      </c>
      <c r="H57" s="1">
        <v>1</v>
      </c>
      <c r="I57" s="1">
        <f>VLOOKUP($B57,'1. Master Data'!$C:$AB,26,0)</f>
        <v>429000</v>
      </c>
      <c r="J57" s="1">
        <f t="shared" si="5"/>
        <v>429000</v>
      </c>
      <c r="K57" s="1">
        <f t="shared" si="6"/>
        <v>463320.00000000006</v>
      </c>
      <c r="N57" s="24">
        <v>45717</v>
      </c>
      <c r="O57" s="54">
        <f t="shared" si="7"/>
        <v>45717</v>
      </c>
      <c r="P57">
        <f t="shared" si="18"/>
        <v>3</v>
      </c>
      <c r="Q57">
        <f t="shared" si="19"/>
        <v>2025</v>
      </c>
      <c r="R57" t="s">
        <v>291</v>
      </c>
      <c r="T57" s="43">
        <v>45734</v>
      </c>
      <c r="U57">
        <f>VLOOKUP($E57,'0. Mã Supplier'!$B:$F,5,0)</f>
        <v>0</v>
      </c>
      <c r="V57" s="53">
        <f t="shared" si="2"/>
        <v>45734</v>
      </c>
      <c r="W57" s="56">
        <f t="shared" si="10"/>
        <v>12</v>
      </c>
      <c r="X57" s="47">
        <f t="shared" si="20"/>
        <v>3</v>
      </c>
      <c r="Y57" s="47">
        <f t="shared" si="12"/>
        <v>2025</v>
      </c>
      <c r="Z57" t="s">
        <v>261</v>
      </c>
      <c r="AA57" s="45">
        <f t="shared" ca="1" si="13"/>
        <v>0</v>
      </c>
      <c r="AB57" s="1">
        <f t="shared" si="21"/>
        <v>463320.00000000006</v>
      </c>
      <c r="AD57" s="2">
        <f t="shared" si="14"/>
        <v>0</v>
      </c>
    </row>
    <row r="58" spans="1:30">
      <c r="A58" t="s">
        <v>295</v>
      </c>
      <c r="B58" t="s">
        <v>82</v>
      </c>
      <c r="C58" t="str">
        <f>VLOOKUP(B58,'1. Master Data'!$C:$K,9,0)</f>
        <v>Chăn Tencel 60s Xám lông chuột 200 x 230 cm</v>
      </c>
      <c r="D58" t="str">
        <f>VLOOKUP(E58,'0. Mã Supplier'!$B:$C,2,0)</f>
        <v>SUVN0001</v>
      </c>
      <c r="E58" t="s">
        <v>107</v>
      </c>
      <c r="F58" t="s">
        <v>290</v>
      </c>
      <c r="G58">
        <v>2</v>
      </c>
      <c r="H58" s="1">
        <v>2</v>
      </c>
      <c r="I58" s="1">
        <f>VLOOKUP($B58,'1. Master Data'!$C:$AB,26,0)</f>
        <v>429000</v>
      </c>
      <c r="J58" s="1">
        <f t="shared" si="5"/>
        <v>858000</v>
      </c>
      <c r="K58" s="1">
        <f t="shared" si="6"/>
        <v>926640.00000000012</v>
      </c>
      <c r="N58" s="24">
        <v>45717</v>
      </c>
      <c r="O58" s="54">
        <f t="shared" si="7"/>
        <v>45717</v>
      </c>
      <c r="P58">
        <f t="shared" si="18"/>
        <v>3</v>
      </c>
      <c r="Q58">
        <f t="shared" si="19"/>
        <v>2025</v>
      </c>
      <c r="R58" t="s">
        <v>291</v>
      </c>
      <c r="T58" s="43">
        <v>45734</v>
      </c>
      <c r="U58">
        <f>VLOOKUP($E58,'0. Mã Supplier'!$B:$F,5,0)</f>
        <v>0</v>
      </c>
      <c r="V58" s="53">
        <f t="shared" si="2"/>
        <v>45734</v>
      </c>
      <c r="W58" s="56">
        <f t="shared" si="10"/>
        <v>12</v>
      </c>
      <c r="X58" s="47">
        <f t="shared" si="20"/>
        <v>3</v>
      </c>
      <c r="Y58" s="47">
        <f t="shared" si="12"/>
        <v>2025</v>
      </c>
      <c r="Z58" t="s">
        <v>261</v>
      </c>
      <c r="AA58" s="45">
        <f t="shared" ca="1" si="13"/>
        <v>0</v>
      </c>
      <c r="AB58" s="1">
        <f t="shared" si="21"/>
        <v>926640.00000000012</v>
      </c>
      <c r="AD58" s="2">
        <f t="shared" si="14"/>
        <v>0</v>
      </c>
    </row>
    <row r="59" spans="1:30">
      <c r="A59" t="s">
        <v>295</v>
      </c>
      <c r="B59" t="s">
        <v>83</v>
      </c>
      <c r="C59" t="str">
        <f>VLOOKUP(B59,'1. Master Data'!$C:$K,9,0)</f>
        <v>Chăn Tencel 60s Xám xanh dương 200 x 230 cm</v>
      </c>
      <c r="D59" t="str">
        <f>VLOOKUP(E59,'0. Mã Supplier'!$B:$C,2,0)</f>
        <v>SUVN0001</v>
      </c>
      <c r="E59" t="s">
        <v>107</v>
      </c>
      <c r="F59" t="s">
        <v>290</v>
      </c>
      <c r="G59">
        <v>3</v>
      </c>
      <c r="H59" s="1">
        <v>3</v>
      </c>
      <c r="I59" s="1">
        <f>VLOOKUP($B59,'1. Master Data'!$C:$AB,26,0)</f>
        <v>429000</v>
      </c>
      <c r="J59" s="1">
        <f t="shared" si="5"/>
        <v>1287000</v>
      </c>
      <c r="K59" s="1">
        <f t="shared" si="6"/>
        <v>1389960</v>
      </c>
      <c r="N59" s="24">
        <v>45717</v>
      </c>
      <c r="O59" s="54">
        <f t="shared" si="7"/>
        <v>45717</v>
      </c>
      <c r="P59">
        <f t="shared" si="18"/>
        <v>3</v>
      </c>
      <c r="Q59">
        <f t="shared" si="19"/>
        <v>2025</v>
      </c>
      <c r="R59" t="s">
        <v>291</v>
      </c>
      <c r="T59" s="43">
        <v>45734</v>
      </c>
      <c r="U59">
        <f>VLOOKUP($E59,'0. Mã Supplier'!$B:$F,5,0)</f>
        <v>0</v>
      </c>
      <c r="V59" s="53">
        <f t="shared" si="2"/>
        <v>45734</v>
      </c>
      <c r="W59" s="56">
        <f t="shared" si="10"/>
        <v>12</v>
      </c>
      <c r="X59" s="47">
        <f t="shared" si="20"/>
        <v>3</v>
      </c>
      <c r="Y59" s="47">
        <f t="shared" si="12"/>
        <v>2025</v>
      </c>
      <c r="Z59" t="s">
        <v>261</v>
      </c>
      <c r="AA59" s="45">
        <f t="shared" ca="1" si="13"/>
        <v>0</v>
      </c>
      <c r="AB59" s="1">
        <f t="shared" si="21"/>
        <v>1389960</v>
      </c>
      <c r="AD59" s="2">
        <f t="shared" si="14"/>
        <v>0</v>
      </c>
    </row>
    <row r="60" spans="1:30">
      <c r="A60" t="s">
        <v>295</v>
      </c>
      <c r="B60" t="s">
        <v>84</v>
      </c>
      <c r="C60" t="str">
        <f>VLOOKUP(B60,'1. Master Data'!$C:$K,9,0)</f>
        <v>Chăn Tencel 60s Xám trắng 200 x 230 cm</v>
      </c>
      <c r="D60" t="str">
        <f>VLOOKUP(E60,'0. Mã Supplier'!$B:$C,2,0)</f>
        <v>SUVN0001</v>
      </c>
      <c r="E60" t="s">
        <v>107</v>
      </c>
      <c r="F60" t="s">
        <v>290</v>
      </c>
      <c r="G60">
        <v>4</v>
      </c>
      <c r="H60" s="1">
        <v>4</v>
      </c>
      <c r="I60" s="1">
        <f>VLOOKUP($B60,'1. Master Data'!$C:$AB,26,0)</f>
        <v>429000</v>
      </c>
      <c r="J60" s="1">
        <f t="shared" si="5"/>
        <v>1716000</v>
      </c>
      <c r="K60" s="1">
        <f t="shared" si="6"/>
        <v>1853280.0000000002</v>
      </c>
      <c r="N60" s="24">
        <v>45717</v>
      </c>
      <c r="O60" s="54">
        <f t="shared" si="7"/>
        <v>45717</v>
      </c>
      <c r="P60">
        <f t="shared" si="18"/>
        <v>3</v>
      </c>
      <c r="Q60">
        <f t="shared" si="19"/>
        <v>2025</v>
      </c>
      <c r="R60" t="s">
        <v>291</v>
      </c>
      <c r="T60" s="43">
        <v>45734</v>
      </c>
      <c r="U60">
        <f>VLOOKUP($E60,'0. Mã Supplier'!$B:$F,5,0)</f>
        <v>0</v>
      </c>
      <c r="V60" s="53">
        <f t="shared" si="2"/>
        <v>45734</v>
      </c>
      <c r="W60" s="56">
        <f t="shared" si="10"/>
        <v>12</v>
      </c>
      <c r="X60" s="47">
        <f t="shared" si="20"/>
        <v>3</v>
      </c>
      <c r="Y60" s="47">
        <f t="shared" si="12"/>
        <v>2025</v>
      </c>
      <c r="Z60" t="s">
        <v>261</v>
      </c>
      <c r="AA60" s="45">
        <f t="shared" ca="1" si="13"/>
        <v>0</v>
      </c>
      <c r="AB60" s="1">
        <f t="shared" si="21"/>
        <v>1853280.0000000002</v>
      </c>
      <c r="AD60" s="2">
        <f t="shared" si="14"/>
        <v>0</v>
      </c>
    </row>
    <row r="61" spans="1:30">
      <c r="A61" t="s">
        <v>295</v>
      </c>
      <c r="B61" t="s">
        <v>45</v>
      </c>
      <c r="C61" t="str">
        <f>VLOOKUP(B61,'1. Master Data'!$C:$K,9,0)</f>
        <v>Bộ Chăn ga Xơ đũi 4CT (ga phủ, chăn chần) Trái tim</v>
      </c>
      <c r="D61" t="str">
        <f>VLOOKUP(E61,'0. Mã Supplier'!$B:$C,2,0)</f>
        <v>SUVN0001</v>
      </c>
      <c r="E61" t="s">
        <v>107</v>
      </c>
      <c r="F61" t="s">
        <v>293</v>
      </c>
      <c r="G61">
        <v>8</v>
      </c>
      <c r="H61" s="1">
        <v>8</v>
      </c>
      <c r="I61" s="1">
        <f>VLOOKUP($B61,'1. Master Data'!$C:$AB,26,0)</f>
        <v>207900</v>
      </c>
      <c r="J61" s="1">
        <f t="shared" si="5"/>
        <v>1663200</v>
      </c>
      <c r="K61" s="1">
        <f t="shared" si="6"/>
        <v>1796256.0000000002</v>
      </c>
      <c r="N61" s="24">
        <v>45717</v>
      </c>
      <c r="O61" s="54">
        <f t="shared" si="7"/>
        <v>45717</v>
      </c>
      <c r="P61">
        <f t="shared" si="18"/>
        <v>3</v>
      </c>
      <c r="Q61">
        <f t="shared" si="19"/>
        <v>2025</v>
      </c>
      <c r="R61" t="s">
        <v>291</v>
      </c>
      <c r="T61" s="43">
        <v>45734</v>
      </c>
      <c r="U61">
        <f>VLOOKUP($E61,'0. Mã Supplier'!$B:$F,5,0)</f>
        <v>0</v>
      </c>
      <c r="V61" s="53">
        <f t="shared" si="2"/>
        <v>45734</v>
      </c>
      <c r="W61" s="56">
        <f t="shared" si="10"/>
        <v>12</v>
      </c>
      <c r="X61" s="47">
        <f t="shared" si="20"/>
        <v>3</v>
      </c>
      <c r="Y61" s="47">
        <f t="shared" si="12"/>
        <v>2025</v>
      </c>
      <c r="Z61" t="s">
        <v>261</v>
      </c>
      <c r="AA61" s="45">
        <f t="shared" ca="1" si="13"/>
        <v>0</v>
      </c>
      <c r="AB61" s="1">
        <f t="shared" si="21"/>
        <v>1796256.0000000002</v>
      </c>
      <c r="AD61" s="2">
        <f t="shared" si="14"/>
        <v>0</v>
      </c>
    </row>
    <row r="62" spans="1:30">
      <c r="A62" t="s">
        <v>295</v>
      </c>
      <c r="B62" t="s">
        <v>68</v>
      </c>
      <c r="C62" t="str">
        <f>VLOOKUP(B62,'1. Master Data'!$C:$K,9,0)</f>
        <v>Chăn Lạnh 4.8 Xám pastel 200 x 230 cm, Vải cooling mát lạnh</v>
      </c>
      <c r="D62" t="str">
        <f>VLOOKUP(E62,'0. Mã Supplier'!$B:$C,2,0)</f>
        <v>SUVN0001</v>
      </c>
      <c r="E62" t="s">
        <v>107</v>
      </c>
      <c r="F62" t="s">
        <v>290</v>
      </c>
      <c r="G62">
        <v>10</v>
      </c>
      <c r="H62" s="1">
        <v>10</v>
      </c>
      <c r="I62" s="1">
        <f>VLOOKUP($B62,'1. Master Data'!$C:$AB,26,0)</f>
        <v>280000</v>
      </c>
      <c r="J62" s="1">
        <f t="shared" si="5"/>
        <v>2800000</v>
      </c>
      <c r="K62" s="1">
        <f t="shared" si="6"/>
        <v>3024000</v>
      </c>
      <c r="N62" s="24">
        <v>45717</v>
      </c>
      <c r="O62" s="54">
        <f t="shared" si="7"/>
        <v>45717</v>
      </c>
      <c r="P62">
        <f t="shared" si="18"/>
        <v>3</v>
      </c>
      <c r="Q62">
        <f t="shared" si="19"/>
        <v>2025</v>
      </c>
      <c r="R62" t="s">
        <v>291</v>
      </c>
      <c r="T62" s="43">
        <v>45734</v>
      </c>
      <c r="U62">
        <f>VLOOKUP($E62,'0. Mã Supplier'!$B:$F,5,0)</f>
        <v>0</v>
      </c>
      <c r="V62" s="53">
        <f t="shared" si="2"/>
        <v>45734</v>
      </c>
      <c r="W62" s="56">
        <f t="shared" si="10"/>
        <v>12</v>
      </c>
      <c r="X62" s="47">
        <f t="shared" si="20"/>
        <v>3</v>
      </c>
      <c r="Y62" s="47">
        <f t="shared" si="12"/>
        <v>2025</v>
      </c>
      <c r="Z62" t="s">
        <v>261</v>
      </c>
      <c r="AA62" s="45">
        <f t="shared" ca="1" si="13"/>
        <v>0</v>
      </c>
      <c r="AB62" s="1">
        <f t="shared" si="21"/>
        <v>3024000</v>
      </c>
      <c r="AD62" s="2">
        <f t="shared" si="14"/>
        <v>0</v>
      </c>
    </row>
    <row r="63" spans="1:30">
      <c r="A63" t="s">
        <v>295</v>
      </c>
      <c r="B63" t="s">
        <v>69</v>
      </c>
      <c r="C63" t="str">
        <f>VLOOKUP(B63,'1. Master Data'!$C:$K,9,0)</f>
        <v>Chăn Lạnh 4.8 Tím hoa cà 200 x 230 cm, Vải cooling mát lạnh</v>
      </c>
      <c r="D63" t="str">
        <f>VLOOKUP(E63,'0. Mã Supplier'!$B:$C,2,0)</f>
        <v>SUVN0001</v>
      </c>
      <c r="E63" t="s">
        <v>107</v>
      </c>
      <c r="F63" t="s">
        <v>290</v>
      </c>
      <c r="G63">
        <v>5</v>
      </c>
      <c r="H63" s="1">
        <v>5</v>
      </c>
      <c r="I63" s="1">
        <f>VLOOKUP($B63,'1. Master Data'!$C:$AB,26,0)</f>
        <v>280000</v>
      </c>
      <c r="J63" s="1">
        <f t="shared" si="5"/>
        <v>1400000</v>
      </c>
      <c r="K63" s="1">
        <f t="shared" si="6"/>
        <v>1512000</v>
      </c>
      <c r="N63" s="24">
        <v>45717</v>
      </c>
      <c r="O63" s="54">
        <f t="shared" si="7"/>
        <v>45717</v>
      </c>
      <c r="P63">
        <f t="shared" si="18"/>
        <v>3</v>
      </c>
      <c r="Q63">
        <f t="shared" si="19"/>
        <v>2025</v>
      </c>
      <c r="R63" t="s">
        <v>291</v>
      </c>
      <c r="T63" s="43">
        <v>45734</v>
      </c>
      <c r="U63">
        <f>VLOOKUP($E63,'0. Mã Supplier'!$B:$F,5,0)</f>
        <v>0</v>
      </c>
      <c r="V63" s="53">
        <f t="shared" si="2"/>
        <v>45734</v>
      </c>
      <c r="W63" s="56">
        <f t="shared" si="10"/>
        <v>12</v>
      </c>
      <c r="X63" s="47">
        <f t="shared" si="20"/>
        <v>3</v>
      </c>
      <c r="Y63" s="47">
        <f t="shared" si="12"/>
        <v>2025</v>
      </c>
      <c r="Z63" t="s">
        <v>261</v>
      </c>
      <c r="AA63" s="45">
        <f t="shared" ca="1" si="13"/>
        <v>0</v>
      </c>
      <c r="AB63" s="1">
        <f t="shared" si="21"/>
        <v>1512000</v>
      </c>
      <c r="AD63" s="2">
        <f t="shared" si="14"/>
        <v>0</v>
      </c>
    </row>
    <row r="64" spans="1:30">
      <c r="A64" t="s">
        <v>295</v>
      </c>
      <c r="B64" t="s">
        <v>70</v>
      </c>
      <c r="C64" t="str">
        <f>VLOOKUP(B64,'1. Master Data'!$C:$K,9,0)</f>
        <v>Chăn Lạnh 4.8 Xanh lá pastel 200 x 230 cm, Vải cooling mát lạnh</v>
      </c>
      <c r="D64" t="str">
        <f>VLOOKUP(E64,'0. Mã Supplier'!$B:$C,2,0)</f>
        <v>SUVN0001</v>
      </c>
      <c r="E64" t="s">
        <v>107</v>
      </c>
      <c r="F64" t="s">
        <v>290</v>
      </c>
      <c r="G64">
        <v>5</v>
      </c>
      <c r="H64" s="1">
        <v>5</v>
      </c>
      <c r="I64" s="1">
        <f>VLOOKUP($B64,'1. Master Data'!$C:$AB,26,0)</f>
        <v>280000</v>
      </c>
      <c r="J64" s="1">
        <f t="shared" si="5"/>
        <v>1400000</v>
      </c>
      <c r="K64" s="1">
        <f t="shared" si="6"/>
        <v>1512000</v>
      </c>
      <c r="N64" s="24">
        <v>45717</v>
      </c>
      <c r="O64" s="54">
        <f t="shared" si="7"/>
        <v>45717</v>
      </c>
      <c r="P64">
        <f t="shared" si="18"/>
        <v>3</v>
      </c>
      <c r="Q64">
        <f t="shared" si="19"/>
        <v>2025</v>
      </c>
      <c r="R64" t="s">
        <v>291</v>
      </c>
      <c r="T64" s="43">
        <v>45734</v>
      </c>
      <c r="U64">
        <f>VLOOKUP($E64,'0. Mã Supplier'!$B:$F,5,0)</f>
        <v>0</v>
      </c>
      <c r="V64" s="53">
        <f t="shared" si="2"/>
        <v>45734</v>
      </c>
      <c r="W64" s="56">
        <f t="shared" si="10"/>
        <v>12</v>
      </c>
      <c r="X64" s="47">
        <f t="shared" si="20"/>
        <v>3</v>
      </c>
      <c r="Y64" s="47">
        <f t="shared" si="12"/>
        <v>2025</v>
      </c>
      <c r="Z64" t="s">
        <v>261</v>
      </c>
      <c r="AA64" s="45">
        <f t="shared" ca="1" si="13"/>
        <v>0</v>
      </c>
      <c r="AB64" s="1">
        <f t="shared" si="21"/>
        <v>1512000</v>
      </c>
      <c r="AD64" s="2">
        <f t="shared" si="14"/>
        <v>0</v>
      </c>
    </row>
    <row r="65" spans="1:30">
      <c r="A65" t="s">
        <v>295</v>
      </c>
      <c r="B65" t="s">
        <v>71</v>
      </c>
      <c r="C65" t="str">
        <f>VLOOKUP(B65,'1. Master Data'!$C:$K,9,0)</f>
        <v>Chăn Lạnh 4.8 Xanh dương xám 200 x 230 cm, Vải cooling mát lạnh</v>
      </c>
      <c r="D65" t="str">
        <f>VLOOKUP(E65,'0. Mã Supplier'!$B:$C,2,0)</f>
        <v>SUVN0001</v>
      </c>
      <c r="E65" t="s">
        <v>107</v>
      </c>
      <c r="F65" t="s">
        <v>290</v>
      </c>
      <c r="G65">
        <v>10</v>
      </c>
      <c r="H65" s="1">
        <v>10</v>
      </c>
      <c r="I65" s="1">
        <f>VLOOKUP($B65,'1. Master Data'!$C:$AB,26,0)</f>
        <v>280000</v>
      </c>
      <c r="J65" s="1">
        <f t="shared" si="5"/>
        <v>2800000</v>
      </c>
      <c r="K65" s="1">
        <f t="shared" si="6"/>
        <v>3024000</v>
      </c>
      <c r="N65" s="24">
        <v>45717</v>
      </c>
      <c r="O65" s="54">
        <f t="shared" si="7"/>
        <v>45717</v>
      </c>
      <c r="P65">
        <f t="shared" si="18"/>
        <v>3</v>
      </c>
      <c r="Q65">
        <f t="shared" si="19"/>
        <v>2025</v>
      </c>
      <c r="R65" t="s">
        <v>291</v>
      </c>
      <c r="T65" s="43">
        <v>45734</v>
      </c>
      <c r="U65">
        <f>VLOOKUP($E65,'0. Mã Supplier'!$B:$F,5,0)</f>
        <v>0</v>
      </c>
      <c r="V65" s="53">
        <f t="shared" si="2"/>
        <v>45734</v>
      </c>
      <c r="W65" s="56">
        <f t="shared" si="10"/>
        <v>12</v>
      </c>
      <c r="X65" s="47">
        <f t="shared" si="20"/>
        <v>3</v>
      </c>
      <c r="Y65" s="47">
        <f t="shared" si="12"/>
        <v>2025</v>
      </c>
      <c r="Z65" t="s">
        <v>261</v>
      </c>
      <c r="AA65" s="45">
        <f t="shared" ca="1" si="13"/>
        <v>0</v>
      </c>
      <c r="AB65" s="1">
        <f t="shared" si="21"/>
        <v>3024000</v>
      </c>
      <c r="AD65" s="2">
        <f t="shared" si="14"/>
        <v>0</v>
      </c>
    </row>
    <row r="66" spans="1:30">
      <c r="A66" t="s">
        <v>295</v>
      </c>
      <c r="B66" t="s">
        <v>67</v>
      </c>
      <c r="C66" t="str">
        <f>VLOOKUP(B66,'1. Master Data'!$C:$K,9,0)</f>
        <v>Chăn Lạnh 4.8 Xanh dương pastel 200 x 230 cm, Vải cooling mát lạnh</v>
      </c>
      <c r="D66" t="str">
        <f>VLOOKUP(E66,'0. Mã Supplier'!$B:$C,2,0)</f>
        <v>SUVN0001</v>
      </c>
      <c r="E66" t="s">
        <v>107</v>
      </c>
      <c r="F66" t="s">
        <v>290</v>
      </c>
      <c r="G66">
        <v>10</v>
      </c>
      <c r="H66" s="1">
        <v>10</v>
      </c>
      <c r="I66" s="1">
        <f>VLOOKUP($B66,'1. Master Data'!$C:$AB,26,0)</f>
        <v>280000</v>
      </c>
      <c r="J66" s="1">
        <f t="shared" si="5"/>
        <v>2800000</v>
      </c>
      <c r="K66" s="1">
        <f t="shared" si="6"/>
        <v>3024000</v>
      </c>
      <c r="N66" s="24">
        <v>45717</v>
      </c>
      <c r="O66" s="54">
        <f t="shared" si="7"/>
        <v>45717</v>
      </c>
      <c r="P66">
        <f t="shared" si="18"/>
        <v>3</v>
      </c>
      <c r="Q66">
        <f t="shared" si="19"/>
        <v>2025</v>
      </c>
      <c r="R66" t="s">
        <v>291</v>
      </c>
      <c r="T66" s="43">
        <v>45734</v>
      </c>
      <c r="U66">
        <f>VLOOKUP($E66,'0. Mã Supplier'!$B:$F,5,0)</f>
        <v>0</v>
      </c>
      <c r="V66" s="53">
        <f t="shared" ref="V66:V129" si="27">T66+U66</f>
        <v>45734</v>
      </c>
      <c r="W66" s="56">
        <f t="shared" si="10"/>
        <v>12</v>
      </c>
      <c r="X66" s="47">
        <f t="shared" si="20"/>
        <v>3</v>
      </c>
      <c r="Y66" s="47">
        <f t="shared" si="12"/>
        <v>2025</v>
      </c>
      <c r="Z66" t="s">
        <v>261</v>
      </c>
      <c r="AA66" s="45">
        <f t="shared" ca="1" si="13"/>
        <v>0</v>
      </c>
      <c r="AB66" s="1">
        <f t="shared" si="21"/>
        <v>3024000</v>
      </c>
      <c r="AD66" s="2">
        <f t="shared" si="14"/>
        <v>0</v>
      </c>
    </row>
    <row r="67" spans="1:30">
      <c r="A67" t="s">
        <v>295</v>
      </c>
      <c r="B67" t="s">
        <v>71</v>
      </c>
      <c r="C67" t="str">
        <f>VLOOKUP(B67,'1. Master Data'!$C:$K,9,0)</f>
        <v>Chăn Lạnh 4.8 Xanh dương xám 200 x 230 cm, Vải cooling mát lạnh</v>
      </c>
      <c r="D67" t="str">
        <f>VLOOKUP(E67,'0. Mã Supplier'!$B:$C,2,0)</f>
        <v>SUVN0001</v>
      </c>
      <c r="E67" t="s">
        <v>107</v>
      </c>
      <c r="F67" t="s">
        <v>290</v>
      </c>
      <c r="G67">
        <v>10</v>
      </c>
      <c r="H67" s="1">
        <v>10</v>
      </c>
      <c r="I67" s="1">
        <f>VLOOKUP($B67,'1. Master Data'!$C:$AB,26,0)</f>
        <v>280000</v>
      </c>
      <c r="J67" s="1">
        <f t="shared" si="5"/>
        <v>2800000</v>
      </c>
      <c r="K67" s="1">
        <f t="shared" si="6"/>
        <v>3024000</v>
      </c>
      <c r="N67" s="24">
        <v>45717</v>
      </c>
      <c r="O67" s="54">
        <f t="shared" ref="O67:O130" si="28">N67-L67</f>
        <v>45717</v>
      </c>
      <c r="P67">
        <f t="shared" si="18"/>
        <v>3</v>
      </c>
      <c r="Q67">
        <f t="shared" si="19"/>
        <v>2025</v>
      </c>
      <c r="R67" t="s">
        <v>291</v>
      </c>
      <c r="T67" s="43">
        <v>45734</v>
      </c>
      <c r="U67">
        <f>VLOOKUP($E67,'0. Mã Supplier'!$B:$F,5,0)</f>
        <v>0</v>
      </c>
      <c r="V67" s="53">
        <f t="shared" si="27"/>
        <v>45734</v>
      </c>
      <c r="W67" s="56">
        <f t="shared" ref="W67:W130" si="29">WEEKNUM(V67)</f>
        <v>12</v>
      </c>
      <c r="X67" s="47">
        <f t="shared" si="20"/>
        <v>3</v>
      </c>
      <c r="Y67" s="47">
        <f t="shared" ref="Y67:Y130" si="30">YEAR(V67)</f>
        <v>2025</v>
      </c>
      <c r="Z67" t="s">
        <v>261</v>
      </c>
      <c r="AA67" s="45">
        <f t="shared" ref="AA67:AA130" ca="1" si="31">IF(Z67="yes",0,TODAY()-V67)</f>
        <v>0</v>
      </c>
      <c r="AB67" s="1">
        <f t="shared" ref="AB67:AB98" si="32">IF(Z67="Yes",K67)</f>
        <v>3024000</v>
      </c>
      <c r="AD67" s="2">
        <f t="shared" ref="AD67:AD130" si="33">IFERROR(K67-AB67,0)</f>
        <v>0</v>
      </c>
    </row>
    <row r="68" spans="1:30">
      <c r="A68" t="s">
        <v>295</v>
      </c>
      <c r="B68" t="s">
        <v>48</v>
      </c>
      <c r="C68" t="str">
        <f>VLOOKUP(B68,'1. Master Data'!$C:$K,9,0)</f>
        <v>Bộ Chăn ga phủ vỏ chăn 4CT Mẫu 1</v>
      </c>
      <c r="D68" t="str">
        <f>VLOOKUP(E68,'0. Mã Supplier'!$B:$C,2,0)</f>
        <v>SUVN0001</v>
      </c>
      <c r="E68" t="s">
        <v>107</v>
      </c>
      <c r="F68" t="s">
        <v>293</v>
      </c>
      <c r="G68">
        <v>2</v>
      </c>
      <c r="H68" s="1">
        <v>2</v>
      </c>
      <c r="I68" s="1">
        <f>VLOOKUP($B68,'1. Master Data'!$C:$AB,26,0)</f>
        <v>199100</v>
      </c>
      <c r="J68" s="1">
        <f t="shared" ref="J68:J131" si="34">I68*H68</f>
        <v>398200</v>
      </c>
      <c r="K68" s="1">
        <f t="shared" ref="K68:K131" si="35">J68*1.08</f>
        <v>430056</v>
      </c>
      <c r="N68" s="24">
        <v>45717</v>
      </c>
      <c r="O68" s="54">
        <f t="shared" si="28"/>
        <v>45717</v>
      </c>
      <c r="P68">
        <f t="shared" si="18"/>
        <v>3</v>
      </c>
      <c r="Q68">
        <f t="shared" si="19"/>
        <v>2025</v>
      </c>
      <c r="R68" t="s">
        <v>291</v>
      </c>
      <c r="T68" s="43">
        <v>45734</v>
      </c>
      <c r="U68">
        <f>VLOOKUP($E68,'0. Mã Supplier'!$B:$F,5,0)</f>
        <v>0</v>
      </c>
      <c r="V68" s="53">
        <f t="shared" si="27"/>
        <v>45734</v>
      </c>
      <c r="W68" s="56">
        <f t="shared" si="29"/>
        <v>12</v>
      </c>
      <c r="X68" s="47">
        <f t="shared" si="20"/>
        <v>3</v>
      </c>
      <c r="Y68" s="47">
        <f t="shared" si="30"/>
        <v>2025</v>
      </c>
      <c r="Z68" t="s">
        <v>261</v>
      </c>
      <c r="AA68" s="45">
        <f t="shared" ca="1" si="31"/>
        <v>0</v>
      </c>
      <c r="AB68" s="1">
        <f t="shared" si="32"/>
        <v>430056</v>
      </c>
      <c r="AD68" s="2">
        <f t="shared" si="33"/>
        <v>0</v>
      </c>
    </row>
    <row r="69" spans="1:30">
      <c r="A69" t="s">
        <v>295</v>
      </c>
      <c r="B69" t="s">
        <v>49</v>
      </c>
      <c r="C69" t="str">
        <f>VLOOKUP(B69,'1. Master Data'!$C:$K,9,0)</f>
        <v>Bộ Chăn ga phủ vỏ chăn 4CT Mẫu 2</v>
      </c>
      <c r="D69" t="str">
        <f>VLOOKUP(E69,'0. Mã Supplier'!$B:$C,2,0)</f>
        <v>SUVN0001</v>
      </c>
      <c r="E69" t="s">
        <v>107</v>
      </c>
      <c r="F69" t="s">
        <v>293</v>
      </c>
      <c r="G69">
        <v>3</v>
      </c>
      <c r="H69" s="1">
        <v>3</v>
      </c>
      <c r="I69" s="1">
        <f>VLOOKUP($B69,'1. Master Data'!$C:$AB,26,0)</f>
        <v>199100</v>
      </c>
      <c r="J69" s="1">
        <f t="shared" si="34"/>
        <v>597300</v>
      </c>
      <c r="K69" s="1">
        <f t="shared" si="35"/>
        <v>645084</v>
      </c>
      <c r="N69" s="24">
        <v>45717</v>
      </c>
      <c r="O69" s="54">
        <f t="shared" si="28"/>
        <v>45717</v>
      </c>
      <c r="P69">
        <f t="shared" si="18"/>
        <v>3</v>
      </c>
      <c r="Q69">
        <f t="shared" si="19"/>
        <v>2025</v>
      </c>
      <c r="R69" t="s">
        <v>291</v>
      </c>
      <c r="T69" s="43">
        <v>45734</v>
      </c>
      <c r="U69">
        <f>VLOOKUP($E69,'0. Mã Supplier'!$B:$F,5,0)</f>
        <v>0</v>
      </c>
      <c r="V69" s="53">
        <f t="shared" si="27"/>
        <v>45734</v>
      </c>
      <c r="W69" s="56">
        <f t="shared" si="29"/>
        <v>12</v>
      </c>
      <c r="X69" s="47">
        <f t="shared" si="20"/>
        <v>3</v>
      </c>
      <c r="Y69" s="47">
        <f t="shared" si="30"/>
        <v>2025</v>
      </c>
      <c r="Z69" t="s">
        <v>261</v>
      </c>
      <c r="AA69" s="45">
        <f t="shared" ca="1" si="31"/>
        <v>0</v>
      </c>
      <c r="AB69" s="1">
        <f t="shared" si="32"/>
        <v>645084</v>
      </c>
      <c r="AD69" s="2">
        <f t="shared" si="33"/>
        <v>0</v>
      </c>
    </row>
    <row r="70" spans="1:30">
      <c r="A70" t="s">
        <v>296</v>
      </c>
      <c r="B70" t="s">
        <v>67</v>
      </c>
      <c r="C70" t="str">
        <f>VLOOKUP(B70,'1. Master Data'!$C:$K,9,0)</f>
        <v>Chăn Lạnh 4.8 Xanh dương pastel 200 x 230 cm, Vải cooling mát lạnh</v>
      </c>
      <c r="D70" t="str">
        <f>VLOOKUP(E70,'0. Mã Supplier'!$B:$C,2,0)</f>
        <v>SUVN0001</v>
      </c>
      <c r="E70" t="s">
        <v>107</v>
      </c>
      <c r="F70" t="s">
        <v>290</v>
      </c>
      <c r="G70" s="1">
        <v>10</v>
      </c>
      <c r="H70" s="1">
        <v>10</v>
      </c>
      <c r="I70" s="1">
        <f>VLOOKUP($B70,'1. Master Data'!$C:$AB,26,0)</f>
        <v>280000</v>
      </c>
      <c r="J70" s="1">
        <f t="shared" si="34"/>
        <v>2800000</v>
      </c>
      <c r="N70" s="24">
        <v>45748</v>
      </c>
      <c r="O70" s="54">
        <f t="shared" si="28"/>
        <v>45748</v>
      </c>
      <c r="P70">
        <f t="shared" si="18"/>
        <v>4</v>
      </c>
      <c r="Q70">
        <f t="shared" si="19"/>
        <v>2025</v>
      </c>
      <c r="R70" t="s">
        <v>291</v>
      </c>
      <c r="T70" s="43">
        <v>45889</v>
      </c>
      <c r="U70">
        <f>VLOOKUP($E70,'0. Mã Supplier'!$B:$F,5,0)</f>
        <v>0</v>
      </c>
      <c r="V70" s="53">
        <f t="shared" si="27"/>
        <v>45889</v>
      </c>
      <c r="W70" s="56">
        <f t="shared" si="29"/>
        <v>34</v>
      </c>
      <c r="X70" s="47">
        <f t="shared" ref="X70:X130" si="36">IF(V70&lt;&gt;0,MONTH(V70),"")</f>
        <v>8</v>
      </c>
      <c r="Y70" s="47">
        <f t="shared" si="30"/>
        <v>2025</v>
      </c>
      <c r="AA70" s="45">
        <f t="shared" ca="1" si="31"/>
        <v>375</v>
      </c>
      <c r="AB70" s="1" t="b">
        <f t="shared" si="32"/>
        <v>0</v>
      </c>
      <c r="AD70" s="2">
        <f t="shared" si="33"/>
        <v>0</v>
      </c>
    </row>
    <row r="71" spans="1:30">
      <c r="A71" t="s">
        <v>296</v>
      </c>
      <c r="B71" t="s">
        <v>68</v>
      </c>
      <c r="C71" t="str">
        <f>VLOOKUP(B71,'1. Master Data'!$C:$K,9,0)</f>
        <v>Chăn Lạnh 4.8 Xám pastel 200 x 230 cm, Vải cooling mát lạnh</v>
      </c>
      <c r="D71" t="str">
        <f>VLOOKUP(E71,'0. Mã Supplier'!$B:$C,2,0)</f>
        <v>SUVN0001</v>
      </c>
      <c r="E71" t="s">
        <v>107</v>
      </c>
      <c r="F71" t="s">
        <v>290</v>
      </c>
      <c r="G71" s="1">
        <v>10</v>
      </c>
      <c r="H71" s="1">
        <v>10</v>
      </c>
      <c r="I71" s="1">
        <f>VLOOKUP($B71,'1. Master Data'!$C:$AB,26,0)</f>
        <v>280000</v>
      </c>
      <c r="J71" s="1">
        <f t="shared" si="34"/>
        <v>2800000</v>
      </c>
      <c r="N71" s="24">
        <v>45748</v>
      </c>
      <c r="O71" s="54">
        <f t="shared" si="28"/>
        <v>45748</v>
      </c>
      <c r="P71">
        <f t="shared" si="18"/>
        <v>4</v>
      </c>
      <c r="Q71">
        <f t="shared" si="19"/>
        <v>2025</v>
      </c>
      <c r="R71" t="s">
        <v>291</v>
      </c>
      <c r="T71" s="43">
        <v>45889</v>
      </c>
      <c r="U71">
        <f>VLOOKUP($E71,'0. Mã Supplier'!$B:$F,5,0)</f>
        <v>0</v>
      </c>
      <c r="V71" s="53">
        <f t="shared" si="27"/>
        <v>45889</v>
      </c>
      <c r="W71" s="56">
        <f t="shared" si="29"/>
        <v>34</v>
      </c>
      <c r="X71" s="47">
        <f t="shared" si="36"/>
        <v>8</v>
      </c>
      <c r="Y71" s="47">
        <f t="shared" si="30"/>
        <v>2025</v>
      </c>
      <c r="AA71" s="45">
        <f t="shared" ca="1" si="31"/>
        <v>375</v>
      </c>
      <c r="AB71" s="1" t="b">
        <f t="shared" si="32"/>
        <v>0</v>
      </c>
      <c r="AD71" s="2">
        <f t="shared" si="33"/>
        <v>0</v>
      </c>
    </row>
    <row r="72" spans="1:30">
      <c r="A72" t="s">
        <v>296</v>
      </c>
      <c r="B72" t="s">
        <v>68</v>
      </c>
      <c r="C72" t="str">
        <f>VLOOKUP(B72,'1. Master Data'!$C:$K,9,0)</f>
        <v>Chăn Lạnh 4.8 Xám pastel 200 x 230 cm, Vải cooling mát lạnh</v>
      </c>
      <c r="D72" t="str">
        <f>VLOOKUP(E72,'0. Mã Supplier'!$B:$C,2,0)</f>
        <v>SUVN0001</v>
      </c>
      <c r="E72" t="s">
        <v>107</v>
      </c>
      <c r="F72" t="s">
        <v>290</v>
      </c>
      <c r="G72" s="1">
        <v>20</v>
      </c>
      <c r="H72" s="1">
        <v>20</v>
      </c>
      <c r="I72" s="1">
        <f>VLOOKUP($B72,'1. Master Data'!$C:$AB,26,0)</f>
        <v>280000</v>
      </c>
      <c r="J72" s="1">
        <f t="shared" si="34"/>
        <v>5600000</v>
      </c>
      <c r="N72" s="24">
        <v>45748</v>
      </c>
      <c r="O72" s="54">
        <f t="shared" si="28"/>
        <v>45748</v>
      </c>
      <c r="P72">
        <f t="shared" si="18"/>
        <v>4</v>
      </c>
      <c r="Q72">
        <f t="shared" si="19"/>
        <v>2025</v>
      </c>
      <c r="R72" t="s">
        <v>291</v>
      </c>
      <c r="T72" s="43">
        <v>45889</v>
      </c>
      <c r="U72">
        <f>VLOOKUP($E72,'0. Mã Supplier'!$B:$F,5,0)</f>
        <v>0</v>
      </c>
      <c r="V72" s="53">
        <f t="shared" si="27"/>
        <v>45889</v>
      </c>
      <c r="W72" s="56">
        <f t="shared" si="29"/>
        <v>34</v>
      </c>
      <c r="X72" s="47">
        <f t="shared" si="36"/>
        <v>8</v>
      </c>
      <c r="Y72" s="47">
        <f t="shared" si="30"/>
        <v>2025</v>
      </c>
      <c r="AA72" s="45">
        <f t="shared" ca="1" si="31"/>
        <v>375</v>
      </c>
      <c r="AB72" s="1" t="b">
        <f t="shared" si="32"/>
        <v>0</v>
      </c>
      <c r="AD72" s="2">
        <f t="shared" si="33"/>
        <v>0</v>
      </c>
    </row>
    <row r="73" spans="1:30">
      <c r="A73" t="s">
        <v>296</v>
      </c>
      <c r="B73" t="s">
        <v>69</v>
      </c>
      <c r="C73" t="str">
        <f>VLOOKUP(B73,'1. Master Data'!$C:$K,9,0)</f>
        <v>Chăn Lạnh 4.8 Tím hoa cà 200 x 230 cm, Vải cooling mát lạnh</v>
      </c>
      <c r="D73" t="str">
        <f>VLOOKUP(E73,'0. Mã Supplier'!$B:$C,2,0)</f>
        <v>SUVN0001</v>
      </c>
      <c r="E73" t="s">
        <v>107</v>
      </c>
      <c r="F73" t="s">
        <v>290</v>
      </c>
      <c r="G73" s="1">
        <v>5</v>
      </c>
      <c r="H73" s="1">
        <v>5</v>
      </c>
      <c r="I73" s="1">
        <f>VLOOKUP($B73,'1. Master Data'!$C:$AB,26,0)</f>
        <v>280000</v>
      </c>
      <c r="J73" s="1">
        <f t="shared" si="34"/>
        <v>1400000</v>
      </c>
      <c r="N73" s="24">
        <v>45748</v>
      </c>
      <c r="O73" s="54">
        <f t="shared" si="28"/>
        <v>45748</v>
      </c>
      <c r="P73">
        <f t="shared" si="18"/>
        <v>4</v>
      </c>
      <c r="Q73">
        <f t="shared" si="19"/>
        <v>2025</v>
      </c>
      <c r="R73" t="s">
        <v>291</v>
      </c>
      <c r="T73" s="43">
        <v>45889</v>
      </c>
      <c r="U73">
        <f>VLOOKUP($E73,'0. Mã Supplier'!$B:$F,5,0)</f>
        <v>0</v>
      </c>
      <c r="V73" s="53">
        <f t="shared" si="27"/>
        <v>45889</v>
      </c>
      <c r="W73" s="56">
        <f t="shared" si="29"/>
        <v>34</v>
      </c>
      <c r="X73" s="47">
        <f t="shared" si="36"/>
        <v>8</v>
      </c>
      <c r="Y73" s="47">
        <f t="shared" si="30"/>
        <v>2025</v>
      </c>
      <c r="AA73" s="45">
        <f t="shared" ca="1" si="31"/>
        <v>375</v>
      </c>
      <c r="AB73" s="1" t="b">
        <f t="shared" si="32"/>
        <v>0</v>
      </c>
      <c r="AD73" s="2">
        <f t="shared" si="33"/>
        <v>0</v>
      </c>
    </row>
    <row r="74" spans="1:30">
      <c r="A74" t="s">
        <v>296</v>
      </c>
      <c r="B74" t="s">
        <v>70</v>
      </c>
      <c r="C74" t="str">
        <f>VLOOKUP(B74,'1. Master Data'!$C:$K,9,0)</f>
        <v>Chăn Lạnh 4.8 Xanh lá pastel 200 x 230 cm, Vải cooling mát lạnh</v>
      </c>
      <c r="D74" t="str">
        <f>VLOOKUP(E74,'0. Mã Supplier'!$B:$C,2,0)</f>
        <v>SUVN0001</v>
      </c>
      <c r="E74" t="s">
        <v>107</v>
      </c>
      <c r="F74" t="s">
        <v>290</v>
      </c>
      <c r="G74" s="1">
        <v>5</v>
      </c>
      <c r="H74" s="1">
        <v>5</v>
      </c>
      <c r="I74" s="1">
        <f>VLOOKUP($B74,'1. Master Data'!$C:$AB,26,0)</f>
        <v>280000</v>
      </c>
      <c r="J74" s="1">
        <f t="shared" si="34"/>
        <v>1400000</v>
      </c>
      <c r="N74" s="24">
        <v>45748</v>
      </c>
      <c r="O74" s="54">
        <f t="shared" si="28"/>
        <v>45748</v>
      </c>
      <c r="P74">
        <f t="shared" si="18"/>
        <v>4</v>
      </c>
      <c r="Q74">
        <f t="shared" si="19"/>
        <v>2025</v>
      </c>
      <c r="R74" t="s">
        <v>291</v>
      </c>
      <c r="T74" s="43">
        <v>45889</v>
      </c>
      <c r="U74">
        <f>VLOOKUP($E74,'0. Mã Supplier'!$B:$F,5,0)</f>
        <v>0</v>
      </c>
      <c r="V74" s="53">
        <f t="shared" si="27"/>
        <v>45889</v>
      </c>
      <c r="W74" s="56">
        <f t="shared" si="29"/>
        <v>34</v>
      </c>
      <c r="X74" s="47">
        <f t="shared" si="36"/>
        <v>8</v>
      </c>
      <c r="Y74" s="47">
        <f t="shared" si="30"/>
        <v>2025</v>
      </c>
      <c r="AA74" s="45">
        <f t="shared" ca="1" si="31"/>
        <v>375</v>
      </c>
      <c r="AB74" s="1" t="b">
        <f t="shared" si="32"/>
        <v>0</v>
      </c>
      <c r="AD74" s="2">
        <f t="shared" si="33"/>
        <v>0</v>
      </c>
    </row>
    <row r="75" spans="1:30">
      <c r="A75" t="s">
        <v>296</v>
      </c>
      <c r="B75" t="s">
        <v>45</v>
      </c>
      <c r="C75" t="str">
        <f>VLOOKUP(B75,'1. Master Data'!$C:$K,9,0)</f>
        <v>Bộ Chăn ga Xơ đũi 4CT (ga phủ, chăn chần) Trái tim</v>
      </c>
      <c r="D75" t="str">
        <f>VLOOKUP(E75,'0. Mã Supplier'!$B:$C,2,0)</f>
        <v>SUVN0001</v>
      </c>
      <c r="E75" t="s">
        <v>107</v>
      </c>
      <c r="F75" t="s">
        <v>293</v>
      </c>
      <c r="G75" s="1">
        <v>10</v>
      </c>
      <c r="H75" s="1">
        <v>10</v>
      </c>
      <c r="I75" s="1">
        <f>VLOOKUP($B75,'1. Master Data'!$C:$AB,26,0)</f>
        <v>207900</v>
      </c>
      <c r="J75" s="1">
        <f t="shared" si="34"/>
        <v>2079000</v>
      </c>
      <c r="N75" s="24">
        <v>45748</v>
      </c>
      <c r="O75" s="54">
        <f t="shared" si="28"/>
        <v>45748</v>
      </c>
      <c r="P75">
        <f t="shared" si="18"/>
        <v>4</v>
      </c>
      <c r="Q75">
        <f t="shared" si="19"/>
        <v>2025</v>
      </c>
      <c r="R75" t="s">
        <v>291</v>
      </c>
      <c r="T75" s="43">
        <v>45889</v>
      </c>
      <c r="U75">
        <f>VLOOKUP($E75,'0. Mã Supplier'!$B:$F,5,0)</f>
        <v>0</v>
      </c>
      <c r="V75" s="53">
        <f t="shared" si="27"/>
        <v>45889</v>
      </c>
      <c r="W75" s="56">
        <f t="shared" si="29"/>
        <v>34</v>
      </c>
      <c r="X75" s="47">
        <f t="shared" si="36"/>
        <v>8</v>
      </c>
      <c r="Y75" s="47">
        <f t="shared" si="30"/>
        <v>2025</v>
      </c>
      <c r="AA75" s="45">
        <f t="shared" ca="1" si="31"/>
        <v>375</v>
      </c>
      <c r="AB75" s="1" t="b">
        <f t="shared" si="32"/>
        <v>0</v>
      </c>
      <c r="AD75" s="2">
        <f t="shared" si="33"/>
        <v>0</v>
      </c>
    </row>
    <row r="76" spans="1:30">
      <c r="A76" t="s">
        <v>296</v>
      </c>
      <c r="B76" t="s">
        <v>48</v>
      </c>
      <c r="C76" t="str">
        <f>VLOOKUP(B76,'1. Master Data'!$C:$K,9,0)</f>
        <v>Bộ Chăn ga phủ vỏ chăn 4CT Mẫu 1</v>
      </c>
      <c r="D76" t="str">
        <f>VLOOKUP(E76,'0. Mã Supplier'!$B:$C,2,0)</f>
        <v>SUVN0001</v>
      </c>
      <c r="E76" t="s">
        <v>107</v>
      </c>
      <c r="F76" t="s">
        <v>293</v>
      </c>
      <c r="G76" s="1">
        <v>2</v>
      </c>
      <c r="H76" s="1">
        <v>2</v>
      </c>
      <c r="I76" s="1">
        <f>VLOOKUP($B76,'1. Master Data'!$C:$AB,26,0)</f>
        <v>199100</v>
      </c>
      <c r="J76" s="1">
        <f t="shared" si="34"/>
        <v>398200</v>
      </c>
      <c r="N76" s="24">
        <v>45748</v>
      </c>
      <c r="O76" s="54">
        <f t="shared" si="28"/>
        <v>45748</v>
      </c>
      <c r="P76">
        <f t="shared" si="18"/>
        <v>4</v>
      </c>
      <c r="Q76">
        <f t="shared" si="19"/>
        <v>2025</v>
      </c>
      <c r="R76" t="s">
        <v>291</v>
      </c>
      <c r="T76" s="43">
        <v>45889</v>
      </c>
      <c r="U76">
        <f>VLOOKUP($E76,'0. Mã Supplier'!$B:$F,5,0)</f>
        <v>0</v>
      </c>
      <c r="V76" s="53">
        <f t="shared" si="27"/>
        <v>45889</v>
      </c>
      <c r="W76" s="56">
        <f t="shared" si="29"/>
        <v>34</v>
      </c>
      <c r="X76" s="47">
        <f t="shared" si="36"/>
        <v>8</v>
      </c>
      <c r="Y76" s="47">
        <f t="shared" si="30"/>
        <v>2025</v>
      </c>
      <c r="AA76" s="45">
        <f t="shared" ca="1" si="31"/>
        <v>375</v>
      </c>
      <c r="AB76" s="1" t="b">
        <f t="shared" si="32"/>
        <v>0</v>
      </c>
      <c r="AD76" s="2">
        <f t="shared" si="33"/>
        <v>0</v>
      </c>
    </row>
    <row r="77" spans="1:30">
      <c r="A77" t="s">
        <v>296</v>
      </c>
      <c r="B77" t="s">
        <v>49</v>
      </c>
      <c r="C77" t="str">
        <f>VLOOKUP(B77,'1. Master Data'!$C:$K,9,0)</f>
        <v>Bộ Chăn ga phủ vỏ chăn 4CT Mẫu 2</v>
      </c>
      <c r="D77" t="str">
        <f>VLOOKUP(E77,'0. Mã Supplier'!$B:$C,2,0)</f>
        <v>SUVN0001</v>
      </c>
      <c r="E77" t="s">
        <v>107</v>
      </c>
      <c r="F77" t="s">
        <v>293</v>
      </c>
      <c r="G77" s="1">
        <v>3</v>
      </c>
      <c r="H77" s="1">
        <v>3</v>
      </c>
      <c r="I77" s="1">
        <f>VLOOKUP($B77,'1. Master Data'!$C:$AB,26,0)</f>
        <v>199100</v>
      </c>
      <c r="J77" s="1">
        <f t="shared" si="34"/>
        <v>597300</v>
      </c>
      <c r="N77" s="24">
        <v>45748</v>
      </c>
      <c r="O77" s="54">
        <f t="shared" si="28"/>
        <v>45748</v>
      </c>
      <c r="P77">
        <f t="shared" si="18"/>
        <v>4</v>
      </c>
      <c r="Q77">
        <f t="shared" si="19"/>
        <v>2025</v>
      </c>
      <c r="R77" t="s">
        <v>291</v>
      </c>
      <c r="T77" s="43">
        <v>45889</v>
      </c>
      <c r="U77">
        <f>VLOOKUP($E77,'0. Mã Supplier'!$B:$F,5,0)</f>
        <v>0</v>
      </c>
      <c r="V77" s="53">
        <f t="shared" si="27"/>
        <v>45889</v>
      </c>
      <c r="W77" s="56">
        <f t="shared" si="29"/>
        <v>34</v>
      </c>
      <c r="X77" s="47">
        <f t="shared" si="36"/>
        <v>8</v>
      </c>
      <c r="Y77" s="47">
        <f t="shared" si="30"/>
        <v>2025</v>
      </c>
      <c r="AA77" s="45">
        <f t="shared" ca="1" si="31"/>
        <v>375</v>
      </c>
      <c r="AB77" s="1" t="b">
        <f t="shared" si="32"/>
        <v>0</v>
      </c>
      <c r="AD77" s="2">
        <f t="shared" si="33"/>
        <v>0</v>
      </c>
    </row>
    <row r="78" spans="1:30">
      <c r="A78" t="s">
        <v>296</v>
      </c>
      <c r="B78" t="s">
        <v>50</v>
      </c>
      <c r="C78" t="str">
        <f>VLOOKUP(B78,'1. Master Data'!$C:$K,9,0)</f>
        <v>Bộ Chăn ga phủ vỏ chăn 4CT Mẫu 3</v>
      </c>
      <c r="D78" t="str">
        <f>VLOOKUP(E78,'0. Mã Supplier'!$B:$C,2,0)</f>
        <v>SUVN0001</v>
      </c>
      <c r="E78" t="s">
        <v>107</v>
      </c>
      <c r="F78" t="s">
        <v>293</v>
      </c>
      <c r="G78" s="1">
        <v>3</v>
      </c>
      <c r="H78" s="1">
        <v>3</v>
      </c>
      <c r="I78" s="1">
        <f>VLOOKUP($B78,'1. Master Data'!$C:$AB,26,0)</f>
        <v>199100</v>
      </c>
      <c r="J78" s="1">
        <f t="shared" si="34"/>
        <v>597300</v>
      </c>
      <c r="N78" s="24">
        <v>45748</v>
      </c>
      <c r="O78" s="54">
        <f t="shared" si="28"/>
        <v>45748</v>
      </c>
      <c r="P78">
        <f t="shared" si="18"/>
        <v>4</v>
      </c>
      <c r="Q78">
        <f t="shared" si="19"/>
        <v>2025</v>
      </c>
      <c r="R78" t="s">
        <v>291</v>
      </c>
      <c r="T78" s="43">
        <v>45889</v>
      </c>
      <c r="U78">
        <f>VLOOKUP($E78,'0. Mã Supplier'!$B:$F,5,0)</f>
        <v>0</v>
      </c>
      <c r="V78" s="53">
        <f t="shared" si="27"/>
        <v>45889</v>
      </c>
      <c r="W78" s="56">
        <f t="shared" si="29"/>
        <v>34</v>
      </c>
      <c r="X78" s="47">
        <f t="shared" si="36"/>
        <v>8</v>
      </c>
      <c r="Y78" s="47">
        <f t="shared" si="30"/>
        <v>2025</v>
      </c>
      <c r="AA78" s="45">
        <f t="shared" ca="1" si="31"/>
        <v>375</v>
      </c>
      <c r="AB78" s="1" t="b">
        <f t="shared" si="32"/>
        <v>0</v>
      </c>
      <c r="AD78" s="2">
        <f t="shared" si="33"/>
        <v>0</v>
      </c>
    </row>
    <row r="79" spans="1:30">
      <c r="A79" t="s">
        <v>296</v>
      </c>
      <c r="B79" t="s">
        <v>51</v>
      </c>
      <c r="C79" t="str">
        <f>VLOOKUP(B79,'1. Master Data'!$C:$K,9,0)</f>
        <v>Bộ Chăn ga phủ vỏ chăn 4CT Mẫu 4</v>
      </c>
      <c r="D79" t="str">
        <f>VLOOKUP(E79,'0. Mã Supplier'!$B:$C,2,0)</f>
        <v>SUVN0001</v>
      </c>
      <c r="E79" t="s">
        <v>107</v>
      </c>
      <c r="F79" t="s">
        <v>293</v>
      </c>
      <c r="G79" s="1">
        <v>2</v>
      </c>
      <c r="H79" s="1">
        <v>2</v>
      </c>
      <c r="I79" s="1">
        <f>VLOOKUP($B79,'1. Master Data'!$C:$AB,26,0)</f>
        <v>199100</v>
      </c>
      <c r="J79" s="1">
        <f t="shared" si="34"/>
        <v>398200</v>
      </c>
      <c r="N79" s="24">
        <v>45748</v>
      </c>
      <c r="O79" s="54">
        <f t="shared" si="28"/>
        <v>45748</v>
      </c>
      <c r="P79">
        <f t="shared" si="18"/>
        <v>4</v>
      </c>
      <c r="Q79">
        <f t="shared" si="19"/>
        <v>2025</v>
      </c>
      <c r="R79" t="s">
        <v>291</v>
      </c>
      <c r="T79" s="43">
        <v>45889</v>
      </c>
      <c r="U79">
        <f>VLOOKUP($E79,'0. Mã Supplier'!$B:$F,5,0)</f>
        <v>0</v>
      </c>
      <c r="V79" s="53">
        <f t="shared" si="27"/>
        <v>45889</v>
      </c>
      <c r="W79" s="56">
        <f t="shared" si="29"/>
        <v>34</v>
      </c>
      <c r="X79" s="47">
        <f t="shared" si="36"/>
        <v>8</v>
      </c>
      <c r="Y79" s="47">
        <f t="shared" si="30"/>
        <v>2025</v>
      </c>
      <c r="AA79" s="45">
        <f t="shared" ca="1" si="31"/>
        <v>375</v>
      </c>
      <c r="AB79" s="1" t="b">
        <f t="shared" si="32"/>
        <v>0</v>
      </c>
      <c r="AD79" s="2">
        <f t="shared" si="33"/>
        <v>0</v>
      </c>
    </row>
    <row r="80" spans="1:30">
      <c r="A80" t="s">
        <v>296</v>
      </c>
      <c r="B80" t="s">
        <v>53</v>
      </c>
      <c r="C80" t="str">
        <f>VLOOKUP(B80,'1. Master Data'!$C:$K,9,0)</f>
        <v>Bộ Chăn ga phủ vỏ chăn 4CT Mẫu 6</v>
      </c>
      <c r="D80" t="str">
        <f>VLOOKUP(E80,'0. Mã Supplier'!$B:$C,2,0)</f>
        <v>SUVN0001</v>
      </c>
      <c r="E80" t="s">
        <v>107</v>
      </c>
      <c r="F80" t="s">
        <v>293</v>
      </c>
      <c r="G80" s="1">
        <v>5</v>
      </c>
      <c r="H80" s="1">
        <v>5</v>
      </c>
      <c r="I80" s="1">
        <f>VLOOKUP($B80,'1. Master Data'!$C:$AB,26,0)</f>
        <v>199100</v>
      </c>
      <c r="J80" s="1">
        <f t="shared" si="34"/>
        <v>995500</v>
      </c>
      <c r="N80" s="24">
        <v>45748</v>
      </c>
      <c r="O80" s="54">
        <f t="shared" si="28"/>
        <v>45748</v>
      </c>
      <c r="P80">
        <f t="shared" si="18"/>
        <v>4</v>
      </c>
      <c r="Q80">
        <f t="shared" si="19"/>
        <v>2025</v>
      </c>
      <c r="R80" t="s">
        <v>291</v>
      </c>
      <c r="T80" s="43">
        <v>45889</v>
      </c>
      <c r="U80">
        <f>VLOOKUP($E80,'0. Mã Supplier'!$B:$F,5,0)</f>
        <v>0</v>
      </c>
      <c r="V80" s="53">
        <f t="shared" si="27"/>
        <v>45889</v>
      </c>
      <c r="W80" s="56">
        <f t="shared" si="29"/>
        <v>34</v>
      </c>
      <c r="X80" s="47">
        <f t="shared" si="36"/>
        <v>8</v>
      </c>
      <c r="Y80" s="47">
        <f t="shared" si="30"/>
        <v>2025</v>
      </c>
      <c r="AA80" s="45">
        <f t="shared" ca="1" si="31"/>
        <v>375</v>
      </c>
      <c r="AB80" s="1" t="b">
        <f t="shared" si="32"/>
        <v>0</v>
      </c>
      <c r="AD80" s="2">
        <f t="shared" si="33"/>
        <v>0</v>
      </c>
    </row>
    <row r="81" spans="1:30">
      <c r="A81" t="s">
        <v>297</v>
      </c>
      <c r="B81" t="s">
        <v>67</v>
      </c>
      <c r="C81" t="str">
        <f>VLOOKUP(B81,'1. Master Data'!$C:$K,9,0)</f>
        <v>Chăn Lạnh 4.8 Xanh dương pastel 200 x 230 cm, Vải cooling mát lạnh</v>
      </c>
      <c r="D81" t="str">
        <f>VLOOKUP(E81,'0. Mã Supplier'!$B:$C,2,0)</f>
        <v>SUVN0001</v>
      </c>
      <c r="E81" t="s">
        <v>107</v>
      </c>
      <c r="F81" t="s">
        <v>290</v>
      </c>
      <c r="G81" s="1">
        <v>50</v>
      </c>
      <c r="H81" s="1">
        <v>50</v>
      </c>
      <c r="I81" s="1">
        <f>VLOOKUP($B81,'1. Master Data'!$C:$AB,26,0)</f>
        <v>280000</v>
      </c>
      <c r="J81" s="1">
        <f t="shared" si="34"/>
        <v>14000000</v>
      </c>
      <c r="N81" s="24">
        <v>45778</v>
      </c>
      <c r="O81" s="54">
        <f t="shared" si="28"/>
        <v>45778</v>
      </c>
      <c r="P81">
        <f t="shared" si="18"/>
        <v>5</v>
      </c>
      <c r="Q81">
        <f t="shared" si="19"/>
        <v>2025</v>
      </c>
      <c r="R81" t="s">
        <v>291</v>
      </c>
      <c r="T81" s="43">
        <v>45889</v>
      </c>
      <c r="U81">
        <f>VLOOKUP($E81,'0. Mã Supplier'!$B:$F,5,0)</f>
        <v>0</v>
      </c>
      <c r="V81" s="53">
        <f t="shared" si="27"/>
        <v>45889</v>
      </c>
      <c r="W81" s="56">
        <f t="shared" si="29"/>
        <v>34</v>
      </c>
      <c r="X81" s="47">
        <f t="shared" si="36"/>
        <v>8</v>
      </c>
      <c r="Y81" s="47">
        <f t="shared" si="30"/>
        <v>2025</v>
      </c>
      <c r="AA81" s="45">
        <f t="shared" ca="1" si="31"/>
        <v>375</v>
      </c>
      <c r="AB81" s="1" t="b">
        <f t="shared" si="32"/>
        <v>0</v>
      </c>
      <c r="AD81" s="2">
        <f t="shared" si="33"/>
        <v>0</v>
      </c>
    </row>
    <row r="82" spans="1:30">
      <c r="A82" t="s">
        <v>297</v>
      </c>
      <c r="B82" t="s">
        <v>69</v>
      </c>
      <c r="C82" t="str">
        <f>VLOOKUP(B82,'1. Master Data'!$C:$K,9,0)</f>
        <v>Chăn Lạnh 4.8 Tím hoa cà 200 x 230 cm, Vải cooling mát lạnh</v>
      </c>
      <c r="D82" t="str">
        <f>VLOOKUP(E82,'0. Mã Supplier'!$B:$C,2,0)</f>
        <v>SUVN0001</v>
      </c>
      <c r="E82" t="s">
        <v>107</v>
      </c>
      <c r="F82" t="s">
        <v>290</v>
      </c>
      <c r="G82" s="1">
        <v>25</v>
      </c>
      <c r="H82" s="1">
        <v>25</v>
      </c>
      <c r="I82" s="1">
        <f>VLOOKUP($B82,'1. Master Data'!$C:$AB,26,0)</f>
        <v>280000</v>
      </c>
      <c r="J82" s="1">
        <f t="shared" si="34"/>
        <v>7000000</v>
      </c>
      <c r="N82" s="24">
        <v>45778</v>
      </c>
      <c r="O82" s="54">
        <f t="shared" si="28"/>
        <v>45778</v>
      </c>
      <c r="P82">
        <f t="shared" si="18"/>
        <v>5</v>
      </c>
      <c r="Q82">
        <f t="shared" si="19"/>
        <v>2025</v>
      </c>
      <c r="R82" t="s">
        <v>291</v>
      </c>
      <c r="T82" s="43">
        <v>45889</v>
      </c>
      <c r="U82">
        <f>VLOOKUP($E82,'0. Mã Supplier'!$B:$F,5,0)</f>
        <v>0</v>
      </c>
      <c r="V82" s="53">
        <f t="shared" si="27"/>
        <v>45889</v>
      </c>
      <c r="W82" s="56">
        <f t="shared" si="29"/>
        <v>34</v>
      </c>
      <c r="X82" s="47">
        <f t="shared" si="36"/>
        <v>8</v>
      </c>
      <c r="Y82" s="47">
        <f t="shared" si="30"/>
        <v>2025</v>
      </c>
      <c r="AA82" s="45">
        <f t="shared" ca="1" si="31"/>
        <v>375</v>
      </c>
      <c r="AB82" s="1" t="b">
        <f t="shared" si="32"/>
        <v>0</v>
      </c>
      <c r="AD82" s="2">
        <f t="shared" si="33"/>
        <v>0</v>
      </c>
    </row>
    <row r="83" spans="1:30">
      <c r="A83" t="s">
        <v>297</v>
      </c>
      <c r="B83" t="s">
        <v>70</v>
      </c>
      <c r="C83" t="str">
        <f>VLOOKUP(B83,'1. Master Data'!$C:$K,9,0)</f>
        <v>Chăn Lạnh 4.8 Xanh lá pastel 200 x 230 cm, Vải cooling mát lạnh</v>
      </c>
      <c r="D83" t="str">
        <f>VLOOKUP(E83,'0. Mã Supplier'!$B:$C,2,0)</f>
        <v>SUVN0001</v>
      </c>
      <c r="E83" t="s">
        <v>107</v>
      </c>
      <c r="F83" t="s">
        <v>290</v>
      </c>
      <c r="G83" s="1">
        <v>4</v>
      </c>
      <c r="H83" s="1">
        <v>4</v>
      </c>
      <c r="I83" s="1">
        <f>VLOOKUP($B83,'1. Master Data'!$C:$AB,26,0)</f>
        <v>280000</v>
      </c>
      <c r="J83" s="1">
        <f t="shared" si="34"/>
        <v>1120000</v>
      </c>
      <c r="N83" s="24">
        <v>45778</v>
      </c>
      <c r="O83" s="54">
        <f t="shared" si="28"/>
        <v>45778</v>
      </c>
      <c r="P83">
        <f t="shared" si="18"/>
        <v>5</v>
      </c>
      <c r="Q83">
        <f t="shared" si="19"/>
        <v>2025</v>
      </c>
      <c r="R83" t="s">
        <v>291</v>
      </c>
      <c r="T83" s="43">
        <v>45889</v>
      </c>
      <c r="U83">
        <f>VLOOKUP($E83,'0. Mã Supplier'!$B:$F,5,0)</f>
        <v>0</v>
      </c>
      <c r="V83" s="53">
        <f t="shared" si="27"/>
        <v>45889</v>
      </c>
      <c r="W83" s="56">
        <f t="shared" si="29"/>
        <v>34</v>
      </c>
      <c r="X83" s="47">
        <f t="shared" si="36"/>
        <v>8</v>
      </c>
      <c r="Y83" s="47">
        <f t="shared" si="30"/>
        <v>2025</v>
      </c>
      <c r="AA83" s="45">
        <f t="shared" ca="1" si="31"/>
        <v>375</v>
      </c>
      <c r="AB83" s="1" t="b">
        <f t="shared" si="32"/>
        <v>0</v>
      </c>
      <c r="AD83" s="2">
        <f t="shared" si="33"/>
        <v>0</v>
      </c>
    </row>
    <row r="84" spans="1:30">
      <c r="A84" t="s">
        <v>297</v>
      </c>
      <c r="B84" t="s">
        <v>71</v>
      </c>
      <c r="C84" t="str">
        <f>VLOOKUP(B84,'1. Master Data'!$C:$K,9,0)</f>
        <v>Chăn Lạnh 4.8 Xanh dương xám 200 x 230 cm, Vải cooling mát lạnh</v>
      </c>
      <c r="D84" t="str">
        <f>VLOOKUP(E84,'0. Mã Supplier'!$B:$C,2,0)</f>
        <v>SUVN0001</v>
      </c>
      <c r="E84" t="s">
        <v>107</v>
      </c>
      <c r="F84" t="s">
        <v>290</v>
      </c>
      <c r="G84" s="1">
        <v>15</v>
      </c>
      <c r="H84" s="1">
        <v>15</v>
      </c>
      <c r="I84" s="1">
        <f>VLOOKUP($B84,'1. Master Data'!$C:$AB,26,0)</f>
        <v>280000</v>
      </c>
      <c r="J84" s="1">
        <f t="shared" si="34"/>
        <v>4200000</v>
      </c>
      <c r="N84" s="24">
        <v>45778</v>
      </c>
      <c r="O84" s="54">
        <f t="shared" si="28"/>
        <v>45778</v>
      </c>
      <c r="P84">
        <f t="shared" si="18"/>
        <v>5</v>
      </c>
      <c r="Q84">
        <f t="shared" si="19"/>
        <v>2025</v>
      </c>
      <c r="R84" t="s">
        <v>291</v>
      </c>
      <c r="T84" s="43">
        <v>45889</v>
      </c>
      <c r="U84">
        <f>VLOOKUP($E84,'0. Mã Supplier'!$B:$F,5,0)</f>
        <v>0</v>
      </c>
      <c r="V84" s="53">
        <f t="shared" si="27"/>
        <v>45889</v>
      </c>
      <c r="W84" s="56">
        <f t="shared" si="29"/>
        <v>34</v>
      </c>
      <c r="X84" s="47">
        <f t="shared" si="36"/>
        <v>8</v>
      </c>
      <c r="Y84" s="47">
        <f t="shared" si="30"/>
        <v>2025</v>
      </c>
      <c r="AA84" s="45">
        <f t="shared" ca="1" si="31"/>
        <v>375</v>
      </c>
      <c r="AB84" s="1" t="b">
        <f t="shared" si="32"/>
        <v>0</v>
      </c>
      <c r="AD84" s="2">
        <f t="shared" si="33"/>
        <v>0</v>
      </c>
    </row>
    <row r="85" spans="1:30">
      <c r="A85" t="s">
        <v>297</v>
      </c>
      <c r="B85" t="s">
        <v>67</v>
      </c>
      <c r="C85" t="str">
        <f>VLOOKUP(B85,'1. Master Data'!$C:$K,9,0)</f>
        <v>Chăn Lạnh 4.8 Xanh dương pastel 200 x 230 cm, Vải cooling mát lạnh</v>
      </c>
      <c r="D85" t="str">
        <f>VLOOKUP(E85,'0. Mã Supplier'!$B:$C,2,0)</f>
        <v>SUVN0001</v>
      </c>
      <c r="E85" t="s">
        <v>107</v>
      </c>
      <c r="F85" t="s">
        <v>290</v>
      </c>
      <c r="G85" s="1">
        <v>1</v>
      </c>
      <c r="H85" s="1">
        <v>1</v>
      </c>
      <c r="I85" s="1">
        <f>VLOOKUP($B85,'1. Master Data'!$C:$AB,26,0)</f>
        <v>280000</v>
      </c>
      <c r="J85" s="1">
        <f t="shared" si="34"/>
        <v>280000</v>
      </c>
      <c r="N85" s="24">
        <v>45778</v>
      </c>
      <c r="O85" s="54">
        <f t="shared" si="28"/>
        <v>45778</v>
      </c>
      <c r="P85">
        <f t="shared" si="18"/>
        <v>5</v>
      </c>
      <c r="Q85">
        <f t="shared" si="19"/>
        <v>2025</v>
      </c>
      <c r="R85" t="s">
        <v>291</v>
      </c>
      <c r="T85" s="43">
        <v>45889</v>
      </c>
      <c r="U85">
        <f>VLOOKUP($E85,'0. Mã Supplier'!$B:$F,5,0)</f>
        <v>0</v>
      </c>
      <c r="V85" s="53">
        <f t="shared" si="27"/>
        <v>45889</v>
      </c>
      <c r="W85" s="56">
        <f t="shared" si="29"/>
        <v>34</v>
      </c>
      <c r="X85" s="47">
        <f t="shared" si="36"/>
        <v>8</v>
      </c>
      <c r="Y85" s="47">
        <f t="shared" si="30"/>
        <v>2025</v>
      </c>
      <c r="AA85" s="45">
        <f t="shared" ca="1" si="31"/>
        <v>375</v>
      </c>
      <c r="AB85" s="1" t="b">
        <f t="shared" si="32"/>
        <v>0</v>
      </c>
      <c r="AD85" s="2">
        <f t="shared" si="33"/>
        <v>0</v>
      </c>
    </row>
    <row r="86" spans="1:30">
      <c r="A86" t="s">
        <v>297</v>
      </c>
      <c r="B86" t="s">
        <v>68</v>
      </c>
      <c r="C86" t="str">
        <f>VLOOKUP(B86,'1. Master Data'!$C:$K,9,0)</f>
        <v>Chăn Lạnh 4.8 Xám pastel 200 x 230 cm, Vải cooling mát lạnh</v>
      </c>
      <c r="D86" t="str">
        <f>VLOOKUP(E86,'0. Mã Supplier'!$B:$C,2,0)</f>
        <v>SUVN0001</v>
      </c>
      <c r="E86" t="s">
        <v>107</v>
      </c>
      <c r="F86" t="s">
        <v>290</v>
      </c>
      <c r="G86" s="1">
        <v>5</v>
      </c>
      <c r="H86" s="1">
        <v>5</v>
      </c>
      <c r="I86" s="1">
        <f>VLOOKUP($B86,'1. Master Data'!$C:$AB,26,0)</f>
        <v>280000</v>
      </c>
      <c r="J86" s="1">
        <f t="shared" si="34"/>
        <v>1400000</v>
      </c>
      <c r="N86" s="24">
        <v>45778</v>
      </c>
      <c r="O86" s="54">
        <f t="shared" si="28"/>
        <v>45778</v>
      </c>
      <c r="P86">
        <f t="shared" si="18"/>
        <v>5</v>
      </c>
      <c r="Q86">
        <f t="shared" si="19"/>
        <v>2025</v>
      </c>
      <c r="R86" t="s">
        <v>291</v>
      </c>
      <c r="T86" s="43">
        <v>45889</v>
      </c>
      <c r="U86">
        <f>VLOOKUP($E86,'0. Mã Supplier'!$B:$F,5,0)</f>
        <v>0</v>
      </c>
      <c r="V86" s="53">
        <f t="shared" si="27"/>
        <v>45889</v>
      </c>
      <c r="W86" s="56">
        <f t="shared" si="29"/>
        <v>34</v>
      </c>
      <c r="X86" s="47">
        <f t="shared" si="36"/>
        <v>8</v>
      </c>
      <c r="Y86" s="47">
        <f t="shared" si="30"/>
        <v>2025</v>
      </c>
      <c r="AA86" s="45">
        <f t="shared" ca="1" si="31"/>
        <v>375</v>
      </c>
      <c r="AB86" s="1" t="b">
        <f t="shared" si="32"/>
        <v>0</v>
      </c>
      <c r="AD86" s="2">
        <f t="shared" si="33"/>
        <v>0</v>
      </c>
    </row>
    <row r="87" spans="1:30">
      <c r="A87" t="s">
        <v>297</v>
      </c>
      <c r="B87" t="s">
        <v>69</v>
      </c>
      <c r="C87" t="str">
        <f>VLOOKUP(B87,'1. Master Data'!$C:$K,9,0)</f>
        <v>Chăn Lạnh 4.8 Tím hoa cà 200 x 230 cm, Vải cooling mát lạnh</v>
      </c>
      <c r="D87" t="str">
        <f>VLOOKUP(E87,'0. Mã Supplier'!$B:$C,2,0)</f>
        <v>SUVN0001</v>
      </c>
      <c r="E87" t="s">
        <v>107</v>
      </c>
      <c r="F87" t="s">
        <v>290</v>
      </c>
      <c r="G87" s="1">
        <v>11</v>
      </c>
      <c r="H87" s="1">
        <v>11</v>
      </c>
      <c r="I87" s="1">
        <f>VLOOKUP($B87,'1. Master Data'!$C:$AB,26,0)</f>
        <v>280000</v>
      </c>
      <c r="J87" s="1">
        <f t="shared" si="34"/>
        <v>3080000</v>
      </c>
      <c r="N87" s="24">
        <v>45778</v>
      </c>
      <c r="O87" s="54">
        <f t="shared" si="28"/>
        <v>45778</v>
      </c>
      <c r="P87">
        <f t="shared" si="18"/>
        <v>5</v>
      </c>
      <c r="Q87">
        <f t="shared" si="19"/>
        <v>2025</v>
      </c>
      <c r="R87" t="s">
        <v>291</v>
      </c>
      <c r="T87" s="43">
        <v>45889</v>
      </c>
      <c r="U87">
        <f>VLOOKUP($E87,'0. Mã Supplier'!$B:$F,5,0)</f>
        <v>0</v>
      </c>
      <c r="V87" s="53">
        <f t="shared" si="27"/>
        <v>45889</v>
      </c>
      <c r="W87" s="56">
        <f t="shared" si="29"/>
        <v>34</v>
      </c>
      <c r="X87" s="47">
        <f t="shared" si="36"/>
        <v>8</v>
      </c>
      <c r="Y87" s="47">
        <f t="shared" si="30"/>
        <v>2025</v>
      </c>
      <c r="AA87" s="45">
        <f t="shared" ca="1" si="31"/>
        <v>375</v>
      </c>
      <c r="AB87" s="1" t="b">
        <f t="shared" si="32"/>
        <v>0</v>
      </c>
      <c r="AD87" s="2">
        <f t="shared" si="33"/>
        <v>0</v>
      </c>
    </row>
    <row r="88" spans="1:30">
      <c r="A88" t="s">
        <v>297</v>
      </c>
      <c r="B88" t="s">
        <v>70</v>
      </c>
      <c r="C88" t="str">
        <f>VLOOKUP(B88,'1. Master Data'!$C:$K,9,0)</f>
        <v>Chăn Lạnh 4.8 Xanh lá pastel 200 x 230 cm, Vải cooling mát lạnh</v>
      </c>
      <c r="D88" t="str">
        <f>VLOOKUP(E88,'0. Mã Supplier'!$B:$C,2,0)</f>
        <v>SUVN0001</v>
      </c>
      <c r="E88" t="s">
        <v>107</v>
      </c>
      <c r="F88" t="s">
        <v>290</v>
      </c>
      <c r="G88" s="1">
        <v>51</v>
      </c>
      <c r="H88" s="1">
        <v>51</v>
      </c>
      <c r="I88" s="1">
        <f>VLOOKUP($B88,'1. Master Data'!$C:$AB,26,0)</f>
        <v>280000</v>
      </c>
      <c r="J88" s="1">
        <f t="shared" si="34"/>
        <v>14280000</v>
      </c>
      <c r="N88" s="24">
        <v>45778</v>
      </c>
      <c r="O88" s="54">
        <f t="shared" si="28"/>
        <v>45778</v>
      </c>
      <c r="P88">
        <f t="shared" si="18"/>
        <v>5</v>
      </c>
      <c r="Q88">
        <f t="shared" si="19"/>
        <v>2025</v>
      </c>
      <c r="R88" t="s">
        <v>291</v>
      </c>
      <c r="T88" s="43">
        <v>45889</v>
      </c>
      <c r="U88">
        <f>VLOOKUP($E88,'0. Mã Supplier'!$B:$F,5,0)</f>
        <v>0</v>
      </c>
      <c r="V88" s="53">
        <f t="shared" si="27"/>
        <v>45889</v>
      </c>
      <c r="W88" s="56">
        <f t="shared" si="29"/>
        <v>34</v>
      </c>
      <c r="X88" s="47">
        <f t="shared" si="36"/>
        <v>8</v>
      </c>
      <c r="Y88" s="47">
        <f t="shared" si="30"/>
        <v>2025</v>
      </c>
      <c r="AA88" s="45">
        <f t="shared" ca="1" si="31"/>
        <v>375</v>
      </c>
      <c r="AB88" s="1" t="b">
        <f t="shared" si="32"/>
        <v>0</v>
      </c>
      <c r="AD88" s="2">
        <f t="shared" si="33"/>
        <v>0</v>
      </c>
    </row>
    <row r="89" spans="1:30">
      <c r="A89" t="s">
        <v>297</v>
      </c>
      <c r="B89" t="s">
        <v>77</v>
      </c>
      <c r="C89" t="str">
        <f>VLOOKUP(B89,'1. Master Data'!$C:$K,9,0)</f>
        <v>Chăn Lạnh 4.8 Màu không thuộc phân loại 200 x 230 cm</v>
      </c>
      <c r="D89" t="str">
        <f>VLOOKUP(E89,'0. Mã Supplier'!$B:$C,2,0)</f>
        <v>SUVN0001</v>
      </c>
      <c r="E89" t="s">
        <v>107</v>
      </c>
      <c r="F89" t="s">
        <v>290</v>
      </c>
      <c r="G89" s="1">
        <v>2</v>
      </c>
      <c r="H89" s="1">
        <v>2</v>
      </c>
      <c r="I89" s="1">
        <f>VLOOKUP($B89,'1. Master Data'!$C:$AB,26,0)</f>
        <v>200000</v>
      </c>
      <c r="J89" s="1">
        <f t="shared" si="34"/>
        <v>400000</v>
      </c>
      <c r="N89" s="24">
        <v>45778</v>
      </c>
      <c r="O89" s="54">
        <f t="shared" si="28"/>
        <v>45778</v>
      </c>
      <c r="P89">
        <f t="shared" si="18"/>
        <v>5</v>
      </c>
      <c r="Q89">
        <f t="shared" si="19"/>
        <v>2025</v>
      </c>
      <c r="R89" t="s">
        <v>291</v>
      </c>
      <c r="T89" s="43">
        <v>45889</v>
      </c>
      <c r="U89">
        <f>VLOOKUP($E89,'0. Mã Supplier'!$B:$F,5,0)</f>
        <v>0</v>
      </c>
      <c r="V89" s="53">
        <f t="shared" si="27"/>
        <v>45889</v>
      </c>
      <c r="W89" s="56">
        <f t="shared" si="29"/>
        <v>34</v>
      </c>
      <c r="X89" s="47">
        <f t="shared" si="36"/>
        <v>8</v>
      </c>
      <c r="Y89" s="47">
        <f t="shared" si="30"/>
        <v>2025</v>
      </c>
      <c r="AA89" s="45">
        <f t="shared" ca="1" si="31"/>
        <v>375</v>
      </c>
      <c r="AB89" s="1" t="b">
        <f t="shared" si="32"/>
        <v>0</v>
      </c>
      <c r="AD89" s="2">
        <f t="shared" si="33"/>
        <v>0</v>
      </c>
    </row>
    <row r="90" spans="1:30">
      <c r="A90" t="s">
        <v>298</v>
      </c>
      <c r="B90" t="s">
        <v>78</v>
      </c>
      <c r="C90" t="str">
        <f>VLOOKUP(B90,'1. Master Data'!$C:$K,9,0)</f>
        <v>Chăn Tencel 60s Xanh dương pastel 200 x 230 cm</v>
      </c>
      <c r="D90" t="str">
        <f>VLOOKUP(E90,'0. Mã Supplier'!$B:$C,2,0)</f>
        <v>SUVN0001</v>
      </c>
      <c r="E90" t="s">
        <v>107</v>
      </c>
      <c r="F90" t="s">
        <v>290</v>
      </c>
      <c r="G90">
        <v>7</v>
      </c>
      <c r="H90" s="1">
        <v>7</v>
      </c>
      <c r="I90" s="1">
        <f>VLOOKUP($B90,'1. Master Data'!$C:$AB,26,0)</f>
        <v>429000</v>
      </c>
      <c r="J90" s="1">
        <f t="shared" si="34"/>
        <v>3003000</v>
      </c>
      <c r="N90" s="24">
        <v>45809</v>
      </c>
      <c r="O90" s="54">
        <f t="shared" si="28"/>
        <v>45809</v>
      </c>
      <c r="P90">
        <f t="shared" si="18"/>
        <v>6</v>
      </c>
      <c r="Q90">
        <f t="shared" si="19"/>
        <v>2025</v>
      </c>
      <c r="R90" t="s">
        <v>291</v>
      </c>
      <c r="T90" s="43">
        <v>45889</v>
      </c>
      <c r="U90">
        <f>VLOOKUP($E90,'0. Mã Supplier'!$B:$F,5,0)</f>
        <v>0</v>
      </c>
      <c r="V90" s="53">
        <f t="shared" si="27"/>
        <v>45889</v>
      </c>
      <c r="W90" s="56">
        <f t="shared" si="29"/>
        <v>34</v>
      </c>
      <c r="X90" s="47">
        <f t="shared" si="36"/>
        <v>8</v>
      </c>
      <c r="Y90" s="47">
        <f t="shared" si="30"/>
        <v>2025</v>
      </c>
      <c r="AA90" s="45">
        <f t="shared" ca="1" si="31"/>
        <v>375</v>
      </c>
      <c r="AB90" s="1" t="b">
        <f t="shared" si="32"/>
        <v>0</v>
      </c>
      <c r="AD90" s="2">
        <f t="shared" si="33"/>
        <v>0</v>
      </c>
    </row>
    <row r="91" spans="1:30">
      <c r="A91" t="s">
        <v>298</v>
      </c>
      <c r="B91" t="s">
        <v>79</v>
      </c>
      <c r="C91" t="str">
        <f>VLOOKUP(B91,'1. Master Data'!$C:$K,9,0)</f>
        <v>Chăn Tencel 60s Hồng pastel 200 x 230 cm</v>
      </c>
      <c r="D91" t="str">
        <f>VLOOKUP(E91,'0. Mã Supplier'!$B:$C,2,0)</f>
        <v>SUVN0001</v>
      </c>
      <c r="E91" t="s">
        <v>107</v>
      </c>
      <c r="F91" t="s">
        <v>290</v>
      </c>
      <c r="G91">
        <v>9</v>
      </c>
      <c r="H91" s="1">
        <v>9</v>
      </c>
      <c r="I91" s="1">
        <f>VLOOKUP($B91,'1. Master Data'!$C:$AB,26,0)</f>
        <v>429000</v>
      </c>
      <c r="J91" s="1">
        <f t="shared" si="34"/>
        <v>3861000</v>
      </c>
      <c r="K91" s="1">
        <v>52788200</v>
      </c>
      <c r="N91" s="24">
        <v>45809</v>
      </c>
      <c r="O91" s="54">
        <f t="shared" si="28"/>
        <v>45809</v>
      </c>
      <c r="P91">
        <f t="shared" si="18"/>
        <v>6</v>
      </c>
      <c r="Q91">
        <f t="shared" si="19"/>
        <v>2025</v>
      </c>
      <c r="R91" t="s">
        <v>291</v>
      </c>
      <c r="T91" s="43">
        <v>45889</v>
      </c>
      <c r="U91">
        <f>VLOOKUP($E91,'0. Mã Supplier'!$B:$F,5,0)</f>
        <v>0</v>
      </c>
      <c r="V91" s="53">
        <f t="shared" si="27"/>
        <v>45889</v>
      </c>
      <c r="W91" s="56">
        <f t="shared" si="29"/>
        <v>34</v>
      </c>
      <c r="X91" s="47">
        <f t="shared" si="36"/>
        <v>8</v>
      </c>
      <c r="Y91" s="47">
        <f t="shared" si="30"/>
        <v>2025</v>
      </c>
      <c r="AA91" s="45">
        <f t="shared" ca="1" si="31"/>
        <v>375</v>
      </c>
      <c r="AB91" s="1">
        <v>52788200</v>
      </c>
      <c r="AD91" s="2">
        <f t="shared" si="33"/>
        <v>0</v>
      </c>
    </row>
    <row r="92" spans="1:30">
      <c r="A92" t="s">
        <v>298</v>
      </c>
      <c r="B92" t="s">
        <v>80</v>
      </c>
      <c r="C92" t="str">
        <f>VLOOKUP(B92,'1. Master Data'!$C:$K,9,0)</f>
        <v>Chăn Tencel 60s Xanh rêu pastel 200 x 230 cm</v>
      </c>
      <c r="D92" t="str">
        <f>VLOOKUP(E92,'0. Mã Supplier'!$B:$C,2,0)</f>
        <v>SUVN0001</v>
      </c>
      <c r="E92" t="s">
        <v>107</v>
      </c>
      <c r="F92" t="s">
        <v>290</v>
      </c>
      <c r="G92">
        <v>15</v>
      </c>
      <c r="H92" s="1">
        <v>15</v>
      </c>
      <c r="I92" s="1">
        <f>VLOOKUP($B92,'1. Master Data'!$C:$AB,26,0)</f>
        <v>429000</v>
      </c>
      <c r="J92" s="1">
        <f t="shared" si="34"/>
        <v>6435000</v>
      </c>
      <c r="N92" s="24">
        <v>45809</v>
      </c>
      <c r="O92" s="54">
        <f t="shared" si="28"/>
        <v>45809</v>
      </c>
      <c r="P92">
        <f t="shared" si="18"/>
        <v>6</v>
      </c>
      <c r="Q92">
        <f t="shared" si="19"/>
        <v>2025</v>
      </c>
      <c r="R92" t="s">
        <v>291</v>
      </c>
      <c r="T92" s="43">
        <v>45889</v>
      </c>
      <c r="U92">
        <f>VLOOKUP($E92,'0. Mã Supplier'!$B:$F,5,0)</f>
        <v>0</v>
      </c>
      <c r="V92" s="53">
        <f t="shared" si="27"/>
        <v>45889</v>
      </c>
      <c r="W92" s="56">
        <f t="shared" si="29"/>
        <v>34</v>
      </c>
      <c r="X92" s="47">
        <f t="shared" si="36"/>
        <v>8</v>
      </c>
      <c r="Y92" s="47">
        <f t="shared" si="30"/>
        <v>2025</v>
      </c>
      <c r="AA92" s="45">
        <f t="shared" ca="1" si="31"/>
        <v>375</v>
      </c>
      <c r="AB92" s="1" t="b">
        <f t="shared" si="32"/>
        <v>0</v>
      </c>
      <c r="AD92" s="2">
        <f t="shared" si="33"/>
        <v>0</v>
      </c>
    </row>
    <row r="93" spans="1:30">
      <c r="A93" t="s">
        <v>298</v>
      </c>
      <c r="B93" t="s">
        <v>81</v>
      </c>
      <c r="C93" t="str">
        <f>VLOOKUP(B93,'1. Master Data'!$C:$K,9,0)</f>
        <v>Chăn Tencel 60s Hồng trắng pastel 200 x 230 cm</v>
      </c>
      <c r="D93" t="str">
        <f>VLOOKUP(E93,'0. Mã Supplier'!$B:$C,2,0)</f>
        <v>SUVN0001</v>
      </c>
      <c r="E93" t="s">
        <v>107</v>
      </c>
      <c r="F93" t="s">
        <v>290</v>
      </c>
      <c r="G93">
        <v>22</v>
      </c>
      <c r="H93" s="1">
        <v>22</v>
      </c>
      <c r="I93" s="1">
        <f>VLOOKUP($B93,'1. Master Data'!$C:$AB,26,0)</f>
        <v>429000</v>
      </c>
      <c r="J93" s="1">
        <f t="shared" si="34"/>
        <v>9438000</v>
      </c>
      <c r="N93" s="24">
        <v>45809</v>
      </c>
      <c r="O93" s="54">
        <f t="shared" si="28"/>
        <v>45809</v>
      </c>
      <c r="P93">
        <f t="shared" si="18"/>
        <v>6</v>
      </c>
      <c r="Q93">
        <f t="shared" si="19"/>
        <v>2025</v>
      </c>
      <c r="R93" t="s">
        <v>291</v>
      </c>
      <c r="T93" s="43">
        <v>45889</v>
      </c>
      <c r="U93">
        <f>VLOOKUP($E93,'0. Mã Supplier'!$B:$F,5,0)</f>
        <v>0</v>
      </c>
      <c r="V93" s="53">
        <f t="shared" si="27"/>
        <v>45889</v>
      </c>
      <c r="W93" s="56">
        <f t="shared" si="29"/>
        <v>34</v>
      </c>
      <c r="X93" s="47">
        <f t="shared" si="36"/>
        <v>8</v>
      </c>
      <c r="Y93" s="47">
        <f t="shared" si="30"/>
        <v>2025</v>
      </c>
      <c r="AA93" s="45">
        <f t="shared" ca="1" si="31"/>
        <v>375</v>
      </c>
      <c r="AB93" s="1" t="b">
        <f t="shared" si="32"/>
        <v>0</v>
      </c>
      <c r="AD93" s="2">
        <f t="shared" si="33"/>
        <v>0</v>
      </c>
    </row>
    <row r="94" spans="1:30">
      <c r="A94" t="s">
        <v>298</v>
      </c>
      <c r="B94" t="s">
        <v>82</v>
      </c>
      <c r="C94" t="str">
        <f>VLOOKUP(B94,'1. Master Data'!$C:$K,9,0)</f>
        <v>Chăn Tencel 60s Xám lông chuột 200 x 230 cm</v>
      </c>
      <c r="D94" t="str">
        <f>VLOOKUP(E94,'0. Mã Supplier'!$B:$C,2,0)</f>
        <v>SUVN0001</v>
      </c>
      <c r="E94" t="s">
        <v>107</v>
      </c>
      <c r="F94" t="s">
        <v>290</v>
      </c>
      <c r="G94">
        <v>6</v>
      </c>
      <c r="H94" s="1">
        <v>6</v>
      </c>
      <c r="I94" s="1">
        <f>VLOOKUP($B94,'1. Master Data'!$C:$AB,26,0)</f>
        <v>429000</v>
      </c>
      <c r="J94" s="1">
        <f t="shared" si="34"/>
        <v>2574000</v>
      </c>
      <c r="N94" s="24">
        <v>45809</v>
      </c>
      <c r="O94" s="54">
        <f t="shared" si="28"/>
        <v>45809</v>
      </c>
      <c r="P94">
        <f t="shared" ref="P94:P101" si="37">MONTH(N94)</f>
        <v>6</v>
      </c>
      <c r="Q94">
        <f t="shared" ref="Q94:Q101" si="38">YEAR(N94)</f>
        <v>2025</v>
      </c>
      <c r="R94" t="s">
        <v>291</v>
      </c>
      <c r="T94" s="43">
        <v>45889</v>
      </c>
      <c r="U94">
        <f>VLOOKUP($E94,'0. Mã Supplier'!$B:$F,5,0)</f>
        <v>0</v>
      </c>
      <c r="V94" s="53">
        <f t="shared" si="27"/>
        <v>45889</v>
      </c>
      <c r="W94" s="56">
        <f t="shared" si="29"/>
        <v>34</v>
      </c>
      <c r="X94" s="47">
        <f t="shared" si="36"/>
        <v>8</v>
      </c>
      <c r="Y94" s="47">
        <f t="shared" si="30"/>
        <v>2025</v>
      </c>
      <c r="AA94" s="45">
        <f t="shared" ca="1" si="31"/>
        <v>375</v>
      </c>
      <c r="AB94" s="1" t="b">
        <f t="shared" si="32"/>
        <v>0</v>
      </c>
      <c r="AD94" s="2">
        <f t="shared" si="33"/>
        <v>0</v>
      </c>
    </row>
    <row r="95" spans="1:30">
      <c r="A95" t="s">
        <v>298</v>
      </c>
      <c r="B95" t="s">
        <v>83</v>
      </c>
      <c r="C95" t="str">
        <f>VLOOKUP(B95,'1. Master Data'!$C:$K,9,0)</f>
        <v>Chăn Tencel 60s Xám xanh dương 200 x 230 cm</v>
      </c>
      <c r="D95" t="str">
        <f>VLOOKUP(E95,'0. Mã Supplier'!$B:$C,2,0)</f>
        <v>SUVN0001</v>
      </c>
      <c r="E95" t="s">
        <v>107</v>
      </c>
      <c r="F95" t="s">
        <v>290</v>
      </c>
      <c r="G95">
        <v>45</v>
      </c>
      <c r="H95" s="1">
        <v>45</v>
      </c>
      <c r="I95" s="1">
        <f>VLOOKUP($B95,'1. Master Data'!$C:$AB,26,0)</f>
        <v>429000</v>
      </c>
      <c r="J95" s="1">
        <f t="shared" si="34"/>
        <v>19305000</v>
      </c>
      <c r="N95" s="24">
        <v>45809</v>
      </c>
      <c r="O95" s="54">
        <f t="shared" si="28"/>
        <v>45809</v>
      </c>
      <c r="P95">
        <f t="shared" si="37"/>
        <v>6</v>
      </c>
      <c r="Q95">
        <f t="shared" si="38"/>
        <v>2025</v>
      </c>
      <c r="R95" t="s">
        <v>291</v>
      </c>
      <c r="T95" s="43">
        <v>45889</v>
      </c>
      <c r="U95">
        <f>VLOOKUP($E95,'0. Mã Supplier'!$B:$F,5,0)</f>
        <v>0</v>
      </c>
      <c r="V95" s="53">
        <f t="shared" si="27"/>
        <v>45889</v>
      </c>
      <c r="W95" s="56">
        <f t="shared" si="29"/>
        <v>34</v>
      </c>
      <c r="X95" s="47">
        <f t="shared" si="36"/>
        <v>8</v>
      </c>
      <c r="Y95" s="47">
        <f t="shared" si="30"/>
        <v>2025</v>
      </c>
      <c r="AA95" s="45">
        <f t="shared" ca="1" si="31"/>
        <v>375</v>
      </c>
      <c r="AB95" s="1" t="b">
        <f t="shared" si="32"/>
        <v>0</v>
      </c>
      <c r="AD95" s="2">
        <f t="shared" si="33"/>
        <v>0</v>
      </c>
    </row>
    <row r="96" spans="1:30">
      <c r="A96" t="s">
        <v>298</v>
      </c>
      <c r="B96" t="s">
        <v>84</v>
      </c>
      <c r="C96" t="str">
        <f>VLOOKUP(B96,'1. Master Data'!$C:$K,9,0)</f>
        <v>Chăn Tencel 60s Xám trắng 200 x 230 cm</v>
      </c>
      <c r="D96" t="str">
        <f>VLOOKUP(E96,'0. Mã Supplier'!$B:$C,2,0)</f>
        <v>SUVN0001</v>
      </c>
      <c r="E96" t="s">
        <v>107</v>
      </c>
      <c r="F96" t="s">
        <v>290</v>
      </c>
      <c r="G96">
        <v>26</v>
      </c>
      <c r="H96" s="1">
        <v>26</v>
      </c>
      <c r="I96" s="1">
        <f>VLOOKUP($B96,'1. Master Data'!$C:$AB,26,0)</f>
        <v>429000</v>
      </c>
      <c r="J96" s="1">
        <f t="shared" si="34"/>
        <v>11154000</v>
      </c>
      <c r="N96" s="24">
        <v>45809</v>
      </c>
      <c r="O96" s="54">
        <f t="shared" si="28"/>
        <v>45809</v>
      </c>
      <c r="P96">
        <f t="shared" si="37"/>
        <v>6</v>
      </c>
      <c r="Q96">
        <f t="shared" si="38"/>
        <v>2025</v>
      </c>
      <c r="R96" t="s">
        <v>291</v>
      </c>
      <c r="T96" s="43">
        <v>45889</v>
      </c>
      <c r="U96">
        <f>VLOOKUP($E96,'0. Mã Supplier'!$B:$F,5,0)</f>
        <v>0</v>
      </c>
      <c r="V96" s="53">
        <f t="shared" si="27"/>
        <v>45889</v>
      </c>
      <c r="W96" s="56">
        <f t="shared" si="29"/>
        <v>34</v>
      </c>
      <c r="X96" s="47">
        <f t="shared" si="36"/>
        <v>8</v>
      </c>
      <c r="Y96" s="47">
        <f t="shared" si="30"/>
        <v>2025</v>
      </c>
      <c r="AA96" s="45">
        <f t="shared" ca="1" si="31"/>
        <v>375</v>
      </c>
      <c r="AB96" s="1" t="b">
        <f t="shared" si="32"/>
        <v>0</v>
      </c>
      <c r="AD96" s="2">
        <f t="shared" si="33"/>
        <v>0</v>
      </c>
    </row>
    <row r="97" spans="1:30">
      <c r="A97" t="s">
        <v>298</v>
      </c>
      <c r="B97" t="s">
        <v>85</v>
      </c>
      <c r="C97" t="str">
        <f>VLOOKUP(B97,'1. Master Data'!$C:$K,9,0)</f>
        <v>Chăn Tencel 60s Xám xanh lá 200 x 230 cm</v>
      </c>
      <c r="D97" t="str">
        <f>VLOOKUP(E97,'0. Mã Supplier'!$B:$C,2,0)</f>
        <v>SUVN0001</v>
      </c>
      <c r="E97" t="s">
        <v>107</v>
      </c>
      <c r="F97" t="s">
        <v>290</v>
      </c>
      <c r="G97">
        <v>17</v>
      </c>
      <c r="H97" s="1">
        <v>17</v>
      </c>
      <c r="I97" s="1">
        <f>VLOOKUP($B97,'1. Master Data'!$C:$AB,26,0)</f>
        <v>429000</v>
      </c>
      <c r="J97" s="1">
        <f t="shared" si="34"/>
        <v>7293000</v>
      </c>
      <c r="K97" s="1">
        <v>75374604</v>
      </c>
      <c r="N97" s="24">
        <v>45809</v>
      </c>
      <c r="O97" s="54">
        <f t="shared" si="28"/>
        <v>45809</v>
      </c>
      <c r="P97">
        <f t="shared" si="37"/>
        <v>6</v>
      </c>
      <c r="Q97">
        <f t="shared" si="38"/>
        <v>2025</v>
      </c>
      <c r="R97" t="s">
        <v>291</v>
      </c>
      <c r="T97" s="43">
        <v>45889</v>
      </c>
      <c r="U97">
        <f>VLOOKUP($E97,'0. Mã Supplier'!$B:$F,5,0)</f>
        <v>0</v>
      </c>
      <c r="V97" s="53">
        <f t="shared" si="27"/>
        <v>45889</v>
      </c>
      <c r="W97" s="56">
        <f t="shared" si="29"/>
        <v>34</v>
      </c>
      <c r="X97" s="47">
        <f t="shared" si="36"/>
        <v>8</v>
      </c>
      <c r="Y97" s="47">
        <f t="shared" si="30"/>
        <v>2025</v>
      </c>
      <c r="AA97" s="45">
        <f t="shared" ca="1" si="31"/>
        <v>375</v>
      </c>
      <c r="AB97" s="1">
        <v>75374604</v>
      </c>
      <c r="AD97" s="2">
        <f t="shared" si="33"/>
        <v>0</v>
      </c>
    </row>
    <row r="98" spans="1:30">
      <c r="A98" t="s">
        <v>298</v>
      </c>
      <c r="B98" t="s">
        <v>86</v>
      </c>
      <c r="C98" t="str">
        <f>VLOOKUP(B98,'1. Master Data'!$C:$K,9,0)</f>
        <v>Chăn Tencel 60s Màu không phân loại 200 x 230 cm</v>
      </c>
      <c r="D98" t="str">
        <f>VLOOKUP(E98,'0. Mã Supplier'!$B:$C,2,0)</f>
        <v>SUVN0001</v>
      </c>
      <c r="E98" t="s">
        <v>107</v>
      </c>
      <c r="F98" t="s">
        <v>290</v>
      </c>
      <c r="G98">
        <v>7</v>
      </c>
      <c r="H98" s="1">
        <v>7</v>
      </c>
      <c r="I98" s="1">
        <f>VLOOKUP($B98,'1. Master Data'!$C:$AB,26,0)</f>
        <v>429000</v>
      </c>
      <c r="J98" s="1">
        <f t="shared" si="34"/>
        <v>3003000</v>
      </c>
      <c r="N98" s="24">
        <v>45809</v>
      </c>
      <c r="O98" s="54">
        <f t="shared" si="28"/>
        <v>45809</v>
      </c>
      <c r="P98">
        <f t="shared" si="37"/>
        <v>6</v>
      </c>
      <c r="Q98">
        <f t="shared" si="38"/>
        <v>2025</v>
      </c>
      <c r="R98" t="s">
        <v>291</v>
      </c>
      <c r="T98" s="43">
        <v>45889</v>
      </c>
      <c r="U98">
        <f>VLOOKUP($E98,'0. Mã Supplier'!$B:$F,5,0)</f>
        <v>0</v>
      </c>
      <c r="V98" s="53">
        <f t="shared" si="27"/>
        <v>45889</v>
      </c>
      <c r="W98" s="56">
        <f t="shared" si="29"/>
        <v>34</v>
      </c>
      <c r="X98" s="47">
        <f t="shared" si="36"/>
        <v>8</v>
      </c>
      <c r="Y98" s="47">
        <f t="shared" si="30"/>
        <v>2025</v>
      </c>
      <c r="AA98" s="45">
        <f t="shared" ca="1" si="31"/>
        <v>375</v>
      </c>
      <c r="AB98" s="1" t="b">
        <f t="shared" si="32"/>
        <v>0</v>
      </c>
      <c r="AD98" s="2">
        <f t="shared" si="33"/>
        <v>0</v>
      </c>
    </row>
    <row r="99" spans="1:30">
      <c r="A99" t="s">
        <v>298</v>
      </c>
      <c r="B99" t="s">
        <v>68</v>
      </c>
      <c r="C99" t="str">
        <f>VLOOKUP(B99,'1. Master Data'!$C:$K,9,0)</f>
        <v>Chăn Lạnh 4.8 Xám pastel 200 x 230 cm, Vải cooling mát lạnh</v>
      </c>
      <c r="D99" t="str">
        <f>VLOOKUP(E99,'0. Mã Supplier'!$B:$C,2,0)</f>
        <v>SUVN0001</v>
      </c>
      <c r="E99" t="s">
        <v>107</v>
      </c>
      <c r="F99" t="s">
        <v>290</v>
      </c>
      <c r="G99">
        <v>2</v>
      </c>
      <c r="H99" s="1">
        <v>2</v>
      </c>
      <c r="I99" s="1">
        <f>VLOOKUP($B99,'1. Master Data'!$C:$AB,26,0)</f>
        <v>280000</v>
      </c>
      <c r="J99" s="1">
        <f t="shared" si="34"/>
        <v>560000</v>
      </c>
      <c r="N99" s="24">
        <v>45809</v>
      </c>
      <c r="O99" s="54">
        <f t="shared" si="28"/>
        <v>45809</v>
      </c>
      <c r="P99">
        <f t="shared" si="37"/>
        <v>6</v>
      </c>
      <c r="Q99">
        <f t="shared" si="38"/>
        <v>2025</v>
      </c>
      <c r="R99" t="s">
        <v>291</v>
      </c>
      <c r="T99" s="43">
        <v>45889</v>
      </c>
      <c r="U99">
        <f>VLOOKUP($E99,'0. Mã Supplier'!$B:$F,5,0)</f>
        <v>0</v>
      </c>
      <c r="V99" s="53">
        <f t="shared" si="27"/>
        <v>45889</v>
      </c>
      <c r="W99" s="56">
        <f t="shared" si="29"/>
        <v>34</v>
      </c>
      <c r="X99" s="47">
        <f t="shared" si="36"/>
        <v>8</v>
      </c>
      <c r="Y99" s="47">
        <f t="shared" si="30"/>
        <v>2025</v>
      </c>
      <c r="AA99" s="45">
        <f t="shared" ca="1" si="31"/>
        <v>375</v>
      </c>
      <c r="AB99" s="1" t="b">
        <f t="shared" ref="AB99:AB125" si="39">IF(Z99="Yes",K99)</f>
        <v>0</v>
      </c>
      <c r="AD99" s="2">
        <f t="shared" si="33"/>
        <v>0</v>
      </c>
    </row>
    <row r="100" spans="1:30">
      <c r="A100" t="s">
        <v>298</v>
      </c>
      <c r="B100" t="s">
        <v>69</v>
      </c>
      <c r="C100" t="str">
        <f>VLOOKUP(B100,'1. Master Data'!$C:$K,9,0)</f>
        <v>Chăn Lạnh 4.8 Tím hoa cà 200 x 230 cm, Vải cooling mát lạnh</v>
      </c>
      <c r="D100" t="str">
        <f>VLOOKUP(E100,'0. Mã Supplier'!$B:$C,2,0)</f>
        <v>SUVN0001</v>
      </c>
      <c r="E100" t="s">
        <v>107</v>
      </c>
      <c r="F100" t="s">
        <v>290</v>
      </c>
      <c r="G100">
        <v>2</v>
      </c>
      <c r="H100" s="1">
        <v>2</v>
      </c>
      <c r="I100" s="1">
        <f>VLOOKUP($B100,'1. Master Data'!$C:$AB,26,0)</f>
        <v>280000</v>
      </c>
      <c r="J100" s="1">
        <f t="shared" si="34"/>
        <v>560000</v>
      </c>
      <c r="N100" s="24">
        <v>45809</v>
      </c>
      <c r="O100" s="54">
        <f t="shared" si="28"/>
        <v>45809</v>
      </c>
      <c r="P100">
        <f t="shared" si="37"/>
        <v>6</v>
      </c>
      <c r="Q100">
        <f t="shared" si="38"/>
        <v>2025</v>
      </c>
      <c r="R100" t="s">
        <v>291</v>
      </c>
      <c r="T100" s="43">
        <v>45889</v>
      </c>
      <c r="U100">
        <f>VLOOKUP($E100,'0. Mã Supplier'!$B:$F,5,0)</f>
        <v>0</v>
      </c>
      <c r="V100" s="53">
        <f t="shared" si="27"/>
        <v>45889</v>
      </c>
      <c r="W100" s="56">
        <f t="shared" si="29"/>
        <v>34</v>
      </c>
      <c r="X100" s="47">
        <f t="shared" si="36"/>
        <v>8</v>
      </c>
      <c r="Y100" s="47">
        <f t="shared" si="30"/>
        <v>2025</v>
      </c>
      <c r="AA100" s="45">
        <f t="shared" ca="1" si="31"/>
        <v>375</v>
      </c>
      <c r="AB100" s="1" t="b">
        <f t="shared" si="39"/>
        <v>0</v>
      </c>
      <c r="AD100" s="2">
        <f t="shared" si="33"/>
        <v>0</v>
      </c>
    </row>
    <row r="101" spans="1:30">
      <c r="A101" t="s">
        <v>299</v>
      </c>
      <c r="B101" t="s">
        <v>9</v>
      </c>
      <c r="C101" t="str">
        <f>VLOOKUP(B101,'1. Master Data'!$C:$K,9,0)</f>
        <v>Nệm T&amp;N Foam 160 x 200 x 15 cm</v>
      </c>
      <c r="D101" t="str">
        <f>VLOOKUP(E101,'0. Mã Supplier'!$B:$C,2,0)</f>
        <v>SUVN0002</v>
      </c>
      <c r="E101" t="s">
        <v>111</v>
      </c>
      <c r="F101" t="s">
        <v>290</v>
      </c>
      <c r="G101" s="1">
        <v>5</v>
      </c>
      <c r="H101" s="1">
        <v>5</v>
      </c>
      <c r="I101" s="1">
        <f>VLOOKUP($B101,'1. Master Data'!$C:$AB,26,0)</f>
        <v>1772300</v>
      </c>
      <c r="J101" s="1">
        <f t="shared" si="34"/>
        <v>8861500</v>
      </c>
      <c r="K101" s="1">
        <f t="shared" si="35"/>
        <v>9570420</v>
      </c>
      <c r="N101" s="24">
        <v>45741</v>
      </c>
      <c r="O101" s="54">
        <f t="shared" si="28"/>
        <v>45741</v>
      </c>
      <c r="P101">
        <f t="shared" si="37"/>
        <v>3</v>
      </c>
      <c r="Q101">
        <f t="shared" si="38"/>
        <v>2025</v>
      </c>
      <c r="R101" t="s">
        <v>291</v>
      </c>
      <c r="T101" s="43">
        <v>45741</v>
      </c>
      <c r="U101">
        <f>VLOOKUP($E101,'0. Mã Supplier'!$B:$F,5,0)</f>
        <v>30</v>
      </c>
      <c r="V101" s="53">
        <f t="shared" si="27"/>
        <v>45771</v>
      </c>
      <c r="W101" s="56">
        <f t="shared" si="29"/>
        <v>17</v>
      </c>
      <c r="X101" s="47">
        <f t="shared" si="36"/>
        <v>4</v>
      </c>
      <c r="Y101" s="47">
        <f t="shared" si="30"/>
        <v>2025</v>
      </c>
      <c r="Z101" t="s">
        <v>261</v>
      </c>
      <c r="AA101" s="45">
        <f t="shared" ca="1" si="31"/>
        <v>0</v>
      </c>
      <c r="AB101" s="1">
        <f t="shared" si="39"/>
        <v>9570420</v>
      </c>
      <c r="AD101" s="2">
        <f t="shared" si="33"/>
        <v>0</v>
      </c>
    </row>
    <row r="102" spans="1:30">
      <c r="A102" t="s">
        <v>299</v>
      </c>
      <c r="B102" t="s">
        <v>10</v>
      </c>
      <c r="C102" t="str">
        <f>VLOOKUP(B102,'1. Master Data'!$C:$K,9,0)</f>
        <v>Nệm T&amp;N Foam 180 x 200 x 15 cm</v>
      </c>
      <c r="D102" t="str">
        <f>VLOOKUP(E102,'0. Mã Supplier'!$B:$C,2,0)</f>
        <v>SUVN0002</v>
      </c>
      <c r="E102" t="s">
        <v>111</v>
      </c>
      <c r="F102" t="s">
        <v>290</v>
      </c>
      <c r="G102" s="1">
        <v>5</v>
      </c>
      <c r="H102" s="1">
        <v>5</v>
      </c>
      <c r="I102" s="1">
        <f>VLOOKUP($B102,'1. Master Data'!$C:$AB,26,0)</f>
        <v>1979600</v>
      </c>
      <c r="J102" s="1">
        <f t="shared" si="34"/>
        <v>9898000</v>
      </c>
      <c r="K102" s="1">
        <f t="shared" si="35"/>
        <v>10689840</v>
      </c>
      <c r="N102" s="24">
        <v>45741</v>
      </c>
      <c r="O102" s="54">
        <f t="shared" si="28"/>
        <v>45741</v>
      </c>
      <c r="P102">
        <f t="shared" ref="P102:P107" si="40">MONTH(N102)</f>
        <v>3</v>
      </c>
      <c r="Q102">
        <f t="shared" ref="Q102:Q107" si="41">YEAR(N102)</f>
        <v>2025</v>
      </c>
      <c r="R102" t="s">
        <v>291</v>
      </c>
      <c r="T102" s="43">
        <v>45741</v>
      </c>
      <c r="U102">
        <f>VLOOKUP($E102,'0. Mã Supplier'!$B:$F,5,0)</f>
        <v>30</v>
      </c>
      <c r="V102" s="53">
        <f t="shared" si="27"/>
        <v>45771</v>
      </c>
      <c r="W102" s="56">
        <f t="shared" si="29"/>
        <v>17</v>
      </c>
      <c r="X102" s="47">
        <f t="shared" si="36"/>
        <v>4</v>
      </c>
      <c r="Y102" s="47">
        <f t="shared" si="30"/>
        <v>2025</v>
      </c>
      <c r="Z102" t="s">
        <v>261</v>
      </c>
      <c r="AA102" s="45">
        <f t="shared" ca="1" si="31"/>
        <v>0</v>
      </c>
      <c r="AB102" s="1">
        <f t="shared" si="39"/>
        <v>10689840</v>
      </c>
      <c r="AD102" s="2">
        <f t="shared" si="33"/>
        <v>0</v>
      </c>
    </row>
    <row r="103" spans="1:30">
      <c r="A103" t="s">
        <v>299</v>
      </c>
      <c r="B103" t="s">
        <v>11</v>
      </c>
      <c r="C103" t="str">
        <f>VLOOKUP(B103,'1. Master Data'!$C:$K,9,0)</f>
        <v>Nệm T&amp;N Foam 160 x 200 x 20 cm</v>
      </c>
      <c r="D103" t="str">
        <f>VLOOKUP(E103,'0. Mã Supplier'!$B:$C,2,0)</f>
        <v>SUVN0002</v>
      </c>
      <c r="E103" t="s">
        <v>111</v>
      </c>
      <c r="F103" t="s">
        <v>290</v>
      </c>
      <c r="G103" s="1">
        <v>5</v>
      </c>
      <c r="H103" s="1">
        <v>5</v>
      </c>
      <c r="I103" s="1">
        <f>VLOOKUP($B103,'1. Master Data'!$C:$AB,26,0)</f>
        <v>2265800</v>
      </c>
      <c r="J103" s="1">
        <f t="shared" si="34"/>
        <v>11329000</v>
      </c>
      <c r="K103" s="1">
        <f t="shared" si="35"/>
        <v>12235320</v>
      </c>
      <c r="N103" s="24">
        <v>45741</v>
      </c>
      <c r="O103" s="54">
        <f t="shared" si="28"/>
        <v>45741</v>
      </c>
      <c r="P103">
        <f t="shared" si="40"/>
        <v>3</v>
      </c>
      <c r="Q103">
        <f t="shared" si="41"/>
        <v>2025</v>
      </c>
      <c r="R103" t="s">
        <v>291</v>
      </c>
      <c r="T103" s="43">
        <v>45741</v>
      </c>
      <c r="U103">
        <f>VLOOKUP($E103,'0. Mã Supplier'!$B:$F,5,0)</f>
        <v>30</v>
      </c>
      <c r="V103" s="53">
        <f t="shared" si="27"/>
        <v>45771</v>
      </c>
      <c r="W103" s="56">
        <f t="shared" si="29"/>
        <v>17</v>
      </c>
      <c r="X103" s="47">
        <f t="shared" si="36"/>
        <v>4</v>
      </c>
      <c r="Y103" s="47">
        <f t="shared" si="30"/>
        <v>2025</v>
      </c>
      <c r="Z103" t="s">
        <v>261</v>
      </c>
      <c r="AA103" s="45">
        <f t="shared" ca="1" si="31"/>
        <v>0</v>
      </c>
      <c r="AB103" s="1">
        <f t="shared" si="39"/>
        <v>12235320</v>
      </c>
      <c r="AD103" s="2">
        <f t="shared" si="33"/>
        <v>0</v>
      </c>
    </row>
    <row r="104" spans="1:30">
      <c r="A104" t="s">
        <v>299</v>
      </c>
      <c r="B104" t="s">
        <v>12</v>
      </c>
      <c r="C104" t="str">
        <f>VLOOKUP(B104,'1. Master Data'!$C:$K,9,0)</f>
        <v>Nệm T&amp;N Foam 180 x 200 x 20 cm</v>
      </c>
      <c r="D104" t="str">
        <f>VLOOKUP(E104,'0. Mã Supplier'!$B:$C,2,0)</f>
        <v>SUVN0002</v>
      </c>
      <c r="E104" t="s">
        <v>111</v>
      </c>
      <c r="F104" t="s">
        <v>290</v>
      </c>
      <c r="G104" s="1">
        <v>5</v>
      </c>
      <c r="H104" s="1">
        <v>5</v>
      </c>
      <c r="I104" s="1">
        <f>VLOOKUP($B104,'1. Master Data'!$C:$AB,26,0)</f>
        <v>2531500</v>
      </c>
      <c r="J104" s="1">
        <f t="shared" si="34"/>
        <v>12657500</v>
      </c>
      <c r="K104" s="1">
        <f t="shared" si="35"/>
        <v>13670100</v>
      </c>
      <c r="N104" s="24">
        <v>45741</v>
      </c>
      <c r="O104" s="54">
        <f t="shared" si="28"/>
        <v>45741</v>
      </c>
      <c r="P104">
        <f t="shared" si="40"/>
        <v>3</v>
      </c>
      <c r="Q104">
        <f t="shared" si="41"/>
        <v>2025</v>
      </c>
      <c r="R104" t="s">
        <v>291</v>
      </c>
      <c r="T104" s="43">
        <v>45741</v>
      </c>
      <c r="U104">
        <f>VLOOKUP($E104,'0. Mã Supplier'!$B:$F,5,0)</f>
        <v>30</v>
      </c>
      <c r="V104" s="53">
        <f t="shared" si="27"/>
        <v>45771</v>
      </c>
      <c r="W104" s="56">
        <f t="shared" si="29"/>
        <v>17</v>
      </c>
      <c r="X104" s="47">
        <f t="shared" si="36"/>
        <v>4</v>
      </c>
      <c r="Y104" s="47">
        <f t="shared" si="30"/>
        <v>2025</v>
      </c>
      <c r="Z104" t="s">
        <v>261</v>
      </c>
      <c r="AA104" s="45">
        <f t="shared" ca="1" si="31"/>
        <v>0</v>
      </c>
      <c r="AB104" s="1">
        <f t="shared" si="39"/>
        <v>13670100</v>
      </c>
      <c r="AD104" s="2">
        <f t="shared" si="33"/>
        <v>0</v>
      </c>
    </row>
    <row r="105" spans="1:30">
      <c r="A105" t="s">
        <v>299</v>
      </c>
      <c r="B105" t="s">
        <v>39</v>
      </c>
      <c r="C105" t="str">
        <f>VLOOKUP(B105,'1. Master Data'!$C:$K,9,0)</f>
        <v>Gối T&amp;N contour (Cứng) 30 x 50 x 8/10 cm</v>
      </c>
      <c r="D105" t="str">
        <f>VLOOKUP(E105,'0. Mã Supplier'!$B:$C,2,0)</f>
        <v>SUVN0002</v>
      </c>
      <c r="E105" t="s">
        <v>111</v>
      </c>
      <c r="F105" t="s">
        <v>290</v>
      </c>
      <c r="G105" s="1">
        <v>25</v>
      </c>
      <c r="H105" s="1">
        <v>25</v>
      </c>
      <c r="I105" s="1">
        <f>VLOOKUP($B105,'1. Master Data'!$C:$AB,26,0)</f>
        <v>116100</v>
      </c>
      <c r="J105" s="1">
        <f t="shared" si="34"/>
        <v>2902500</v>
      </c>
      <c r="K105" s="1">
        <f t="shared" si="35"/>
        <v>3134700</v>
      </c>
      <c r="N105" s="24">
        <v>45741</v>
      </c>
      <c r="O105" s="54">
        <f t="shared" si="28"/>
        <v>45741</v>
      </c>
      <c r="P105">
        <f t="shared" si="40"/>
        <v>3</v>
      </c>
      <c r="Q105">
        <f t="shared" si="41"/>
        <v>2025</v>
      </c>
      <c r="R105" t="s">
        <v>291</v>
      </c>
      <c r="T105" s="43">
        <v>45741</v>
      </c>
      <c r="U105">
        <f>VLOOKUP($E105,'0. Mã Supplier'!$B:$F,5,0)</f>
        <v>30</v>
      </c>
      <c r="V105" s="53">
        <f t="shared" si="27"/>
        <v>45771</v>
      </c>
      <c r="W105" s="56">
        <f t="shared" si="29"/>
        <v>17</v>
      </c>
      <c r="X105" s="47">
        <f t="shared" si="36"/>
        <v>4</v>
      </c>
      <c r="Y105" s="47">
        <f t="shared" si="30"/>
        <v>2025</v>
      </c>
      <c r="Z105" t="s">
        <v>261</v>
      </c>
      <c r="AA105" s="45">
        <f t="shared" ca="1" si="31"/>
        <v>0</v>
      </c>
      <c r="AB105" s="1">
        <f t="shared" si="39"/>
        <v>3134700</v>
      </c>
      <c r="AD105" s="2">
        <f t="shared" si="33"/>
        <v>0</v>
      </c>
    </row>
    <row r="106" spans="1:30">
      <c r="A106" t="s">
        <v>299</v>
      </c>
      <c r="B106" t="s">
        <v>40</v>
      </c>
      <c r="C106" t="str">
        <f>VLOOKUP(B106,'1. Master Data'!$C:$K,9,0)</f>
        <v>Gối T&amp;N contour (Cứng) 40 x 60 x 10/12 cm</v>
      </c>
      <c r="D106" t="str">
        <f>VLOOKUP(E106,'0. Mã Supplier'!$B:$C,2,0)</f>
        <v>SUVN0002</v>
      </c>
      <c r="E106" t="s">
        <v>111</v>
      </c>
      <c r="F106" t="s">
        <v>290</v>
      </c>
      <c r="G106" s="1">
        <v>25</v>
      </c>
      <c r="H106" s="1">
        <v>25</v>
      </c>
      <c r="I106" s="1">
        <f>VLOOKUP($B106,'1. Master Data'!$C:$AB,26,0)</f>
        <v>143100</v>
      </c>
      <c r="J106" s="1">
        <f t="shared" si="34"/>
        <v>3577500</v>
      </c>
      <c r="K106" s="1">
        <f t="shared" si="35"/>
        <v>3863700.0000000005</v>
      </c>
      <c r="N106" s="24">
        <v>45741</v>
      </c>
      <c r="O106" s="54">
        <f t="shared" si="28"/>
        <v>45741</v>
      </c>
      <c r="P106">
        <f t="shared" si="40"/>
        <v>3</v>
      </c>
      <c r="Q106">
        <f t="shared" si="41"/>
        <v>2025</v>
      </c>
      <c r="R106" t="s">
        <v>291</v>
      </c>
      <c r="T106" s="43">
        <v>45741</v>
      </c>
      <c r="U106">
        <f>VLOOKUP($E106,'0. Mã Supplier'!$B:$F,5,0)</f>
        <v>30</v>
      </c>
      <c r="V106" s="53">
        <f t="shared" si="27"/>
        <v>45771</v>
      </c>
      <c r="W106" s="56">
        <f t="shared" si="29"/>
        <v>17</v>
      </c>
      <c r="X106" s="47">
        <f t="shared" si="36"/>
        <v>4</v>
      </c>
      <c r="Y106" s="47">
        <f t="shared" si="30"/>
        <v>2025</v>
      </c>
      <c r="Z106" t="s">
        <v>261</v>
      </c>
      <c r="AA106" s="45">
        <f t="shared" ca="1" si="31"/>
        <v>0</v>
      </c>
      <c r="AB106" s="1">
        <f t="shared" si="39"/>
        <v>3863700.0000000005</v>
      </c>
      <c r="AD106" s="2">
        <f t="shared" si="33"/>
        <v>0</v>
      </c>
    </row>
    <row r="107" spans="1:30">
      <c r="A107" t="s">
        <v>300</v>
      </c>
      <c r="B107" t="s">
        <v>6</v>
      </c>
      <c r="C107" t="str">
        <f>VLOOKUP(B107,'1. Master Data'!$C:$K,9,0)</f>
        <v>Nệm T&amp;N Foam 120 x 200 x 10 cm</v>
      </c>
      <c r="D107" t="str">
        <f>VLOOKUP(E107,'0. Mã Supplier'!$B:$C,2,0)</f>
        <v>SUVN0002</v>
      </c>
      <c r="E107" t="s">
        <v>111</v>
      </c>
      <c r="F107" t="s">
        <v>290</v>
      </c>
      <c r="G107">
        <v>5</v>
      </c>
      <c r="H107" s="1">
        <v>5</v>
      </c>
      <c r="I107" s="1">
        <f>VLOOKUP($B107,'1. Master Data'!$C:$AB,26,0)</f>
        <v>1073100</v>
      </c>
      <c r="J107" s="1">
        <f t="shared" si="34"/>
        <v>5365500</v>
      </c>
      <c r="K107" s="1">
        <f t="shared" si="35"/>
        <v>5794740</v>
      </c>
      <c r="N107" s="24">
        <v>45792</v>
      </c>
      <c r="O107" s="54">
        <f t="shared" si="28"/>
        <v>45792</v>
      </c>
      <c r="P107">
        <f t="shared" si="40"/>
        <v>5</v>
      </c>
      <c r="Q107">
        <f t="shared" si="41"/>
        <v>2025</v>
      </c>
      <c r="R107" t="s">
        <v>291</v>
      </c>
      <c r="T107" s="43">
        <v>45792</v>
      </c>
      <c r="U107">
        <f>VLOOKUP($E107,'0. Mã Supplier'!$B:$F,5,0)</f>
        <v>30</v>
      </c>
      <c r="V107" s="53">
        <f t="shared" si="27"/>
        <v>45822</v>
      </c>
      <c r="W107" s="56">
        <f t="shared" si="29"/>
        <v>24</v>
      </c>
      <c r="X107" s="47">
        <f t="shared" si="36"/>
        <v>6</v>
      </c>
      <c r="Y107" s="47">
        <f t="shared" si="30"/>
        <v>2025</v>
      </c>
      <c r="Z107" t="s">
        <v>261</v>
      </c>
      <c r="AA107" s="45">
        <f t="shared" ca="1" si="31"/>
        <v>0</v>
      </c>
      <c r="AB107" s="1">
        <f t="shared" si="39"/>
        <v>5794740</v>
      </c>
      <c r="AD107" s="2">
        <f t="shared" si="33"/>
        <v>0</v>
      </c>
    </row>
    <row r="108" spans="1:30">
      <c r="A108" t="s">
        <v>300</v>
      </c>
      <c r="B108" t="s">
        <v>7</v>
      </c>
      <c r="C108" t="str">
        <f>VLOOKUP(B108,'1. Master Data'!$C:$K,9,0)</f>
        <v>Nệm T&amp;N Foam 160 x 200 x 10 cm</v>
      </c>
      <c r="D108" t="str">
        <f>VLOOKUP(E108,'0. Mã Supplier'!$B:$C,2,0)</f>
        <v>SUVN0002</v>
      </c>
      <c r="E108" t="s">
        <v>111</v>
      </c>
      <c r="F108" t="s">
        <v>290</v>
      </c>
      <c r="G108">
        <v>10</v>
      </c>
      <c r="H108" s="1">
        <v>10</v>
      </c>
      <c r="I108" s="1">
        <f>VLOOKUP($B108,'1. Master Data'!$C:$AB,26,0)</f>
        <v>1421300</v>
      </c>
      <c r="J108" s="1">
        <f t="shared" si="34"/>
        <v>14213000</v>
      </c>
      <c r="K108" s="1">
        <f t="shared" si="35"/>
        <v>15350040.000000002</v>
      </c>
      <c r="N108" s="24">
        <v>45792</v>
      </c>
      <c r="O108" s="54">
        <f t="shared" si="28"/>
        <v>45792</v>
      </c>
      <c r="P108">
        <f t="shared" ref="P108:P116" si="42">MONTH(N108)</f>
        <v>5</v>
      </c>
      <c r="Q108">
        <f t="shared" ref="Q108:Q116" si="43">YEAR(N108)</f>
        <v>2025</v>
      </c>
      <c r="R108" t="s">
        <v>291</v>
      </c>
      <c r="T108" s="43">
        <v>45792</v>
      </c>
      <c r="U108">
        <f>VLOOKUP($E108,'0. Mã Supplier'!$B:$F,5,0)</f>
        <v>30</v>
      </c>
      <c r="V108" s="53">
        <f t="shared" si="27"/>
        <v>45822</v>
      </c>
      <c r="W108" s="56">
        <f t="shared" si="29"/>
        <v>24</v>
      </c>
      <c r="X108" s="47">
        <f t="shared" si="36"/>
        <v>6</v>
      </c>
      <c r="Y108" s="47">
        <f t="shared" si="30"/>
        <v>2025</v>
      </c>
      <c r="Z108" t="s">
        <v>261</v>
      </c>
      <c r="AA108" s="45">
        <f t="shared" ca="1" si="31"/>
        <v>0</v>
      </c>
      <c r="AB108" s="1">
        <f t="shared" si="39"/>
        <v>15350040.000000002</v>
      </c>
      <c r="AD108" s="2">
        <f t="shared" si="33"/>
        <v>0</v>
      </c>
    </row>
    <row r="109" spans="1:30">
      <c r="A109" t="s">
        <v>300</v>
      </c>
      <c r="B109" t="s">
        <v>8</v>
      </c>
      <c r="C109" t="str">
        <f>VLOOKUP(B109,'1. Master Data'!$C:$K,9,0)</f>
        <v>Nệm T&amp;N Foam 180 x 200 x 10 cm</v>
      </c>
      <c r="D109" t="str">
        <f>VLOOKUP(E109,'0. Mã Supplier'!$B:$C,2,0)</f>
        <v>SUVN0002</v>
      </c>
      <c r="E109" t="s">
        <v>111</v>
      </c>
      <c r="F109" t="s">
        <v>290</v>
      </c>
      <c r="G109">
        <v>9</v>
      </c>
      <c r="H109" s="1">
        <v>9</v>
      </c>
      <c r="I109" s="1">
        <f>VLOOKUP($B109,'1. Master Data'!$C:$AB,26,0)</f>
        <v>1585400</v>
      </c>
      <c r="J109" s="1">
        <f t="shared" si="34"/>
        <v>14268600</v>
      </c>
      <c r="K109" s="1">
        <f t="shared" si="35"/>
        <v>15410088.000000002</v>
      </c>
      <c r="N109" s="24">
        <v>45792</v>
      </c>
      <c r="O109" s="54">
        <f t="shared" si="28"/>
        <v>45792</v>
      </c>
      <c r="P109">
        <f t="shared" si="42"/>
        <v>5</v>
      </c>
      <c r="Q109">
        <f t="shared" si="43"/>
        <v>2025</v>
      </c>
      <c r="R109" t="s">
        <v>291</v>
      </c>
      <c r="T109" s="43">
        <v>45792</v>
      </c>
      <c r="U109">
        <f>VLOOKUP($E109,'0. Mã Supplier'!$B:$F,5,0)</f>
        <v>30</v>
      </c>
      <c r="V109" s="53">
        <f t="shared" si="27"/>
        <v>45822</v>
      </c>
      <c r="W109" s="56">
        <f t="shared" si="29"/>
        <v>24</v>
      </c>
      <c r="X109" s="47">
        <f t="shared" si="36"/>
        <v>6</v>
      </c>
      <c r="Y109" s="47">
        <f t="shared" si="30"/>
        <v>2025</v>
      </c>
      <c r="Z109" t="s">
        <v>261</v>
      </c>
      <c r="AA109" s="45">
        <f t="shared" ca="1" si="31"/>
        <v>0</v>
      </c>
      <c r="AB109" s="1">
        <f t="shared" si="39"/>
        <v>15410088.000000002</v>
      </c>
      <c r="AD109" s="2">
        <f t="shared" si="33"/>
        <v>0</v>
      </c>
    </row>
    <row r="110" spans="1:30">
      <c r="A110" t="s">
        <v>300</v>
      </c>
      <c r="B110" t="s">
        <v>9</v>
      </c>
      <c r="C110" t="str">
        <f>VLOOKUP(B110,'1. Master Data'!$C:$K,9,0)</f>
        <v>Nệm T&amp;N Foam 160 x 200 x 15 cm</v>
      </c>
      <c r="D110" t="str">
        <f>VLOOKUP(E110,'0. Mã Supplier'!$B:$C,2,0)</f>
        <v>SUVN0002</v>
      </c>
      <c r="E110" t="s">
        <v>111</v>
      </c>
      <c r="F110" t="s">
        <v>290</v>
      </c>
      <c r="G110">
        <v>10</v>
      </c>
      <c r="H110" s="1">
        <v>10</v>
      </c>
      <c r="I110" s="1">
        <f>VLOOKUP($B110,'1. Master Data'!$C:$AB,26,0)</f>
        <v>1772300</v>
      </c>
      <c r="J110" s="1">
        <f t="shared" si="34"/>
        <v>17723000</v>
      </c>
      <c r="K110" s="1">
        <f t="shared" si="35"/>
        <v>19140840</v>
      </c>
      <c r="N110" s="24">
        <v>45792</v>
      </c>
      <c r="O110" s="54">
        <f t="shared" si="28"/>
        <v>45792</v>
      </c>
      <c r="P110">
        <f t="shared" si="42"/>
        <v>5</v>
      </c>
      <c r="Q110">
        <f t="shared" si="43"/>
        <v>2025</v>
      </c>
      <c r="R110" t="s">
        <v>291</v>
      </c>
      <c r="T110" s="43">
        <v>45792</v>
      </c>
      <c r="U110">
        <f>VLOOKUP($E110,'0. Mã Supplier'!$B:$F,5,0)</f>
        <v>30</v>
      </c>
      <c r="V110" s="53">
        <f t="shared" si="27"/>
        <v>45822</v>
      </c>
      <c r="W110" s="56">
        <f t="shared" si="29"/>
        <v>24</v>
      </c>
      <c r="X110" s="47">
        <f t="shared" si="36"/>
        <v>6</v>
      </c>
      <c r="Y110" s="47">
        <f t="shared" si="30"/>
        <v>2025</v>
      </c>
      <c r="Z110" t="s">
        <v>261</v>
      </c>
      <c r="AA110" s="45">
        <f t="shared" ca="1" si="31"/>
        <v>0</v>
      </c>
      <c r="AB110" s="1">
        <f t="shared" si="39"/>
        <v>19140840</v>
      </c>
      <c r="AD110" s="2">
        <f t="shared" si="33"/>
        <v>0</v>
      </c>
    </row>
    <row r="111" spans="1:30">
      <c r="A111" t="s">
        <v>300</v>
      </c>
      <c r="B111" t="s">
        <v>10</v>
      </c>
      <c r="C111" t="str">
        <f>VLOOKUP(B111,'1. Master Data'!$C:$K,9,0)</f>
        <v>Nệm T&amp;N Foam 180 x 200 x 15 cm</v>
      </c>
      <c r="D111" t="str">
        <f>VLOOKUP(E111,'0. Mã Supplier'!$B:$C,2,0)</f>
        <v>SUVN0002</v>
      </c>
      <c r="E111" t="s">
        <v>111</v>
      </c>
      <c r="F111" t="s">
        <v>290</v>
      </c>
      <c r="G111">
        <v>5</v>
      </c>
      <c r="H111" s="1">
        <v>5</v>
      </c>
      <c r="I111" s="1">
        <f>VLOOKUP($B111,'1. Master Data'!$C:$AB,26,0)</f>
        <v>1979600</v>
      </c>
      <c r="J111" s="1">
        <f t="shared" si="34"/>
        <v>9898000</v>
      </c>
      <c r="K111" s="1">
        <f t="shared" si="35"/>
        <v>10689840</v>
      </c>
      <c r="N111" s="24">
        <v>45792</v>
      </c>
      <c r="O111" s="54">
        <f t="shared" si="28"/>
        <v>45792</v>
      </c>
      <c r="P111">
        <f t="shared" si="42"/>
        <v>5</v>
      </c>
      <c r="Q111">
        <f t="shared" si="43"/>
        <v>2025</v>
      </c>
      <c r="R111" t="s">
        <v>291</v>
      </c>
      <c r="T111" s="43">
        <v>45792</v>
      </c>
      <c r="U111">
        <f>VLOOKUP($E111,'0. Mã Supplier'!$B:$F,5,0)</f>
        <v>30</v>
      </c>
      <c r="V111" s="53">
        <f t="shared" si="27"/>
        <v>45822</v>
      </c>
      <c r="W111" s="56">
        <f t="shared" si="29"/>
        <v>24</v>
      </c>
      <c r="X111" s="47">
        <f t="shared" si="36"/>
        <v>6</v>
      </c>
      <c r="Y111" s="47">
        <f t="shared" si="30"/>
        <v>2025</v>
      </c>
      <c r="Z111" t="s">
        <v>261</v>
      </c>
      <c r="AA111" s="45">
        <f t="shared" ca="1" si="31"/>
        <v>0</v>
      </c>
      <c r="AB111" s="1">
        <f t="shared" si="39"/>
        <v>10689840</v>
      </c>
      <c r="AD111" s="2">
        <f t="shared" si="33"/>
        <v>0</v>
      </c>
    </row>
    <row r="112" spans="1:30">
      <c r="A112" t="s">
        <v>300</v>
      </c>
      <c r="B112" t="s">
        <v>11</v>
      </c>
      <c r="C112" t="str">
        <f>VLOOKUP(B112,'1. Master Data'!$C:$K,9,0)</f>
        <v>Nệm T&amp;N Foam 160 x 200 x 20 cm</v>
      </c>
      <c r="D112" t="str">
        <f>VLOOKUP(E112,'0. Mã Supplier'!$B:$C,2,0)</f>
        <v>SUVN0002</v>
      </c>
      <c r="E112" t="s">
        <v>111</v>
      </c>
      <c r="F112" t="s">
        <v>290</v>
      </c>
      <c r="G112">
        <v>4</v>
      </c>
      <c r="H112" s="1">
        <v>4</v>
      </c>
      <c r="I112" s="1">
        <f>VLOOKUP($B112,'1. Master Data'!$C:$AB,26,0)</f>
        <v>2265800</v>
      </c>
      <c r="J112" s="1">
        <f t="shared" si="34"/>
        <v>9063200</v>
      </c>
      <c r="K112" s="1">
        <f t="shared" si="35"/>
        <v>9788256</v>
      </c>
      <c r="N112" s="24">
        <v>45792</v>
      </c>
      <c r="O112" s="54">
        <f t="shared" si="28"/>
        <v>45792</v>
      </c>
      <c r="P112">
        <f t="shared" si="42"/>
        <v>5</v>
      </c>
      <c r="Q112">
        <f t="shared" si="43"/>
        <v>2025</v>
      </c>
      <c r="R112" t="s">
        <v>291</v>
      </c>
      <c r="T112" s="43">
        <v>45792</v>
      </c>
      <c r="U112">
        <f>VLOOKUP($E112,'0. Mã Supplier'!$B:$F,5,0)</f>
        <v>30</v>
      </c>
      <c r="V112" s="53">
        <f t="shared" si="27"/>
        <v>45822</v>
      </c>
      <c r="W112" s="56">
        <f t="shared" si="29"/>
        <v>24</v>
      </c>
      <c r="X112" s="47">
        <f t="shared" si="36"/>
        <v>6</v>
      </c>
      <c r="Y112" s="47">
        <f t="shared" si="30"/>
        <v>2025</v>
      </c>
      <c r="Z112" t="s">
        <v>261</v>
      </c>
      <c r="AA112" s="45">
        <f t="shared" ca="1" si="31"/>
        <v>0</v>
      </c>
      <c r="AB112" s="1">
        <f t="shared" si="39"/>
        <v>9788256</v>
      </c>
      <c r="AD112" s="2">
        <f t="shared" si="33"/>
        <v>0</v>
      </c>
    </row>
    <row r="113" spans="1:30">
      <c r="A113" t="s">
        <v>300</v>
      </c>
      <c r="B113" t="s">
        <v>12</v>
      </c>
      <c r="C113" t="str">
        <f>VLOOKUP(B113,'1. Master Data'!$C:$K,9,0)</f>
        <v>Nệm T&amp;N Foam 180 x 200 x 20 cm</v>
      </c>
      <c r="D113" t="str">
        <f>VLOOKUP(E113,'0. Mã Supplier'!$B:$C,2,0)</f>
        <v>SUVN0002</v>
      </c>
      <c r="E113" t="s">
        <v>111</v>
      </c>
      <c r="F113" t="s">
        <v>290</v>
      </c>
      <c r="G113">
        <v>5</v>
      </c>
      <c r="H113" s="1">
        <v>5</v>
      </c>
      <c r="I113" s="1">
        <f>VLOOKUP($B113,'1. Master Data'!$C:$AB,26,0)</f>
        <v>2531500</v>
      </c>
      <c r="J113" s="1">
        <f t="shared" si="34"/>
        <v>12657500</v>
      </c>
      <c r="K113" s="1">
        <f t="shared" si="35"/>
        <v>13670100</v>
      </c>
      <c r="N113" s="24">
        <v>45792</v>
      </c>
      <c r="O113" s="54">
        <f t="shared" si="28"/>
        <v>45792</v>
      </c>
      <c r="P113">
        <f t="shared" si="42"/>
        <v>5</v>
      </c>
      <c r="Q113">
        <f t="shared" si="43"/>
        <v>2025</v>
      </c>
      <c r="R113" t="s">
        <v>291</v>
      </c>
      <c r="T113" s="43">
        <v>45792</v>
      </c>
      <c r="U113">
        <f>VLOOKUP($E113,'0. Mã Supplier'!$B:$F,5,0)</f>
        <v>30</v>
      </c>
      <c r="V113" s="53">
        <f t="shared" si="27"/>
        <v>45822</v>
      </c>
      <c r="W113" s="56">
        <f t="shared" si="29"/>
        <v>24</v>
      </c>
      <c r="X113" s="47">
        <f t="shared" si="36"/>
        <v>6</v>
      </c>
      <c r="Y113" s="47">
        <f t="shared" si="30"/>
        <v>2025</v>
      </c>
      <c r="Z113" t="s">
        <v>261</v>
      </c>
      <c r="AA113" s="45">
        <f t="shared" ca="1" si="31"/>
        <v>0</v>
      </c>
      <c r="AB113" s="1">
        <f t="shared" si="39"/>
        <v>13670100</v>
      </c>
      <c r="AD113" s="2">
        <f t="shared" si="33"/>
        <v>0</v>
      </c>
    </row>
    <row r="114" spans="1:30">
      <c r="A114" t="s">
        <v>300</v>
      </c>
      <c r="B114" t="s">
        <v>39</v>
      </c>
      <c r="C114" t="str">
        <f>VLOOKUP(B114,'1. Master Data'!$C:$K,9,0)</f>
        <v>Gối T&amp;N contour (Cứng) 30 x 50 x 8/10 cm</v>
      </c>
      <c r="D114" t="str">
        <f>VLOOKUP(E114,'0. Mã Supplier'!$B:$C,2,0)</f>
        <v>SUVN0002</v>
      </c>
      <c r="E114" t="s">
        <v>111</v>
      </c>
      <c r="F114" t="s">
        <v>290</v>
      </c>
      <c r="G114">
        <v>40</v>
      </c>
      <c r="H114" s="1">
        <v>40</v>
      </c>
      <c r="I114" s="1">
        <f>VLOOKUP($B114,'1. Master Data'!$C:$AB,26,0)</f>
        <v>116100</v>
      </c>
      <c r="J114" s="1">
        <f t="shared" si="34"/>
        <v>4644000</v>
      </c>
      <c r="K114" s="1">
        <f t="shared" si="35"/>
        <v>5015520</v>
      </c>
      <c r="N114" s="24">
        <v>45792</v>
      </c>
      <c r="O114" s="54">
        <f t="shared" si="28"/>
        <v>45792</v>
      </c>
      <c r="P114">
        <f t="shared" si="42"/>
        <v>5</v>
      </c>
      <c r="Q114">
        <f t="shared" si="43"/>
        <v>2025</v>
      </c>
      <c r="R114" t="s">
        <v>291</v>
      </c>
      <c r="T114" s="43">
        <v>45792</v>
      </c>
      <c r="U114">
        <f>VLOOKUP($E114,'0. Mã Supplier'!$B:$F,5,0)</f>
        <v>30</v>
      </c>
      <c r="V114" s="53">
        <f t="shared" si="27"/>
        <v>45822</v>
      </c>
      <c r="W114" s="56">
        <f t="shared" si="29"/>
        <v>24</v>
      </c>
      <c r="X114" s="47">
        <f t="shared" si="36"/>
        <v>6</v>
      </c>
      <c r="Y114" s="47">
        <f t="shared" si="30"/>
        <v>2025</v>
      </c>
      <c r="Z114" t="s">
        <v>261</v>
      </c>
      <c r="AA114" s="45">
        <f t="shared" ca="1" si="31"/>
        <v>0</v>
      </c>
      <c r="AB114" s="1">
        <f t="shared" si="39"/>
        <v>5015520</v>
      </c>
      <c r="AD114" s="2">
        <f t="shared" si="33"/>
        <v>0</v>
      </c>
    </row>
    <row r="115" spans="1:30">
      <c r="A115" t="s">
        <v>300</v>
      </c>
      <c r="B115" t="s">
        <v>40</v>
      </c>
      <c r="C115" t="str">
        <f>VLOOKUP(B115,'1. Master Data'!$C:$K,9,0)</f>
        <v>Gối T&amp;N contour (Cứng) 40 x 60 x 10/12 cm</v>
      </c>
      <c r="D115" t="str">
        <f>VLOOKUP(E115,'0. Mã Supplier'!$B:$C,2,0)</f>
        <v>SUVN0002</v>
      </c>
      <c r="E115" t="s">
        <v>111</v>
      </c>
      <c r="F115" t="s">
        <v>290</v>
      </c>
      <c r="G115">
        <v>58</v>
      </c>
      <c r="H115" s="1">
        <v>58</v>
      </c>
      <c r="I115" s="1">
        <f>VLOOKUP($B115,'1. Master Data'!$C:$AB,26,0)</f>
        <v>143100</v>
      </c>
      <c r="J115" s="1">
        <f t="shared" si="34"/>
        <v>8299800</v>
      </c>
      <c r="K115" s="1">
        <f t="shared" si="35"/>
        <v>8963784</v>
      </c>
      <c r="N115" s="24">
        <v>45792</v>
      </c>
      <c r="O115" s="54">
        <f t="shared" si="28"/>
        <v>45792</v>
      </c>
      <c r="P115">
        <f t="shared" si="42"/>
        <v>5</v>
      </c>
      <c r="Q115">
        <f t="shared" si="43"/>
        <v>2025</v>
      </c>
      <c r="R115" t="s">
        <v>291</v>
      </c>
      <c r="T115" s="43">
        <v>45792</v>
      </c>
      <c r="U115">
        <f>VLOOKUP($E115,'0. Mã Supplier'!$B:$F,5,0)</f>
        <v>30</v>
      </c>
      <c r="V115" s="53">
        <f t="shared" si="27"/>
        <v>45822</v>
      </c>
      <c r="W115" s="56">
        <f t="shared" si="29"/>
        <v>24</v>
      </c>
      <c r="X115" s="47">
        <f t="shared" si="36"/>
        <v>6</v>
      </c>
      <c r="Y115" s="47">
        <f t="shared" si="30"/>
        <v>2025</v>
      </c>
      <c r="Z115" t="s">
        <v>261</v>
      </c>
      <c r="AA115" s="45">
        <f t="shared" ca="1" si="31"/>
        <v>0</v>
      </c>
      <c r="AB115" s="1">
        <f t="shared" si="39"/>
        <v>8963784</v>
      </c>
      <c r="AD115" s="2">
        <f t="shared" si="33"/>
        <v>0</v>
      </c>
    </row>
    <row r="116" spans="1:30">
      <c r="A116" t="s">
        <v>301</v>
      </c>
      <c r="B116" t="s">
        <v>6</v>
      </c>
      <c r="C116" t="str">
        <f>VLOOKUP(B116,'1. Master Data'!$C:$K,9,0)</f>
        <v>Nệm T&amp;N Foam 120 x 200 x 10 cm</v>
      </c>
      <c r="D116" t="str">
        <f>VLOOKUP(E116,'0. Mã Supplier'!$B:$C,2,0)</f>
        <v>SUVN0002</v>
      </c>
      <c r="E116" t="s">
        <v>111</v>
      </c>
      <c r="F116" t="s">
        <v>290</v>
      </c>
      <c r="G116" s="1">
        <v>5</v>
      </c>
      <c r="H116" s="1">
        <v>5</v>
      </c>
      <c r="I116" s="1">
        <f>VLOOKUP($B116,'1. Master Data'!$C:$AB,26,0)</f>
        <v>1073100</v>
      </c>
      <c r="J116" s="1">
        <f t="shared" si="34"/>
        <v>5365500</v>
      </c>
      <c r="K116" s="1">
        <f t="shared" si="35"/>
        <v>5794740</v>
      </c>
      <c r="N116" s="24">
        <v>45826</v>
      </c>
      <c r="O116" s="54">
        <f t="shared" si="28"/>
        <v>45826</v>
      </c>
      <c r="P116">
        <f t="shared" si="42"/>
        <v>6</v>
      </c>
      <c r="Q116">
        <f t="shared" si="43"/>
        <v>2025</v>
      </c>
      <c r="R116" t="s">
        <v>291</v>
      </c>
      <c r="T116" s="43">
        <v>45826</v>
      </c>
      <c r="U116">
        <f>VLOOKUP($E116,'0. Mã Supplier'!$B:$F,5,0)</f>
        <v>30</v>
      </c>
      <c r="V116" s="53">
        <f t="shared" si="27"/>
        <v>45856</v>
      </c>
      <c r="W116" s="56">
        <f t="shared" si="29"/>
        <v>29</v>
      </c>
      <c r="X116" s="47">
        <f t="shared" si="36"/>
        <v>7</v>
      </c>
      <c r="Y116" s="47">
        <f t="shared" si="30"/>
        <v>2025</v>
      </c>
      <c r="Z116" t="s">
        <v>261</v>
      </c>
      <c r="AA116" s="45">
        <f t="shared" ca="1" si="31"/>
        <v>0</v>
      </c>
      <c r="AB116" s="1">
        <f t="shared" si="39"/>
        <v>5794740</v>
      </c>
      <c r="AD116" s="2">
        <f t="shared" si="33"/>
        <v>0</v>
      </c>
    </row>
    <row r="117" spans="1:30">
      <c r="A117" t="s">
        <v>301</v>
      </c>
      <c r="B117" t="s">
        <v>7</v>
      </c>
      <c r="C117" t="str">
        <f>VLOOKUP(B117,'1. Master Data'!$C:$K,9,0)</f>
        <v>Nệm T&amp;N Foam 160 x 200 x 10 cm</v>
      </c>
      <c r="D117" t="str">
        <f>VLOOKUP(E117,'0. Mã Supplier'!$B:$C,2,0)</f>
        <v>SUVN0002</v>
      </c>
      <c r="E117" t="s">
        <v>111</v>
      </c>
      <c r="F117" t="s">
        <v>290</v>
      </c>
      <c r="G117" s="1">
        <v>10</v>
      </c>
      <c r="H117" s="1">
        <v>10</v>
      </c>
      <c r="I117" s="1">
        <f>VLOOKUP($B117,'1. Master Data'!$C:$AB,26,0)</f>
        <v>1421300</v>
      </c>
      <c r="J117" s="1">
        <f t="shared" si="34"/>
        <v>14213000</v>
      </c>
      <c r="K117" s="1">
        <f t="shared" si="35"/>
        <v>15350040.000000002</v>
      </c>
      <c r="N117" s="24">
        <v>45826</v>
      </c>
      <c r="O117" s="54">
        <f>N117-L117</f>
        <v>45826</v>
      </c>
      <c r="P117">
        <f t="shared" ref="P117:P130" si="44">MONTH(N117)</f>
        <v>6</v>
      </c>
      <c r="Q117">
        <f t="shared" ref="Q117:Q130" si="45">YEAR(N117)</f>
        <v>2025</v>
      </c>
      <c r="R117" t="s">
        <v>291</v>
      </c>
      <c r="T117" s="43">
        <v>45826</v>
      </c>
      <c r="U117">
        <f>VLOOKUP($E117,'0. Mã Supplier'!$B:$F,5,0)</f>
        <v>30</v>
      </c>
      <c r="V117" s="53">
        <f t="shared" si="27"/>
        <v>45856</v>
      </c>
      <c r="W117" s="56">
        <f t="shared" si="29"/>
        <v>29</v>
      </c>
      <c r="X117" s="47">
        <f t="shared" si="36"/>
        <v>7</v>
      </c>
      <c r="Y117" s="47">
        <f t="shared" si="30"/>
        <v>2025</v>
      </c>
      <c r="Z117" t="s">
        <v>261</v>
      </c>
      <c r="AA117" s="45">
        <f t="shared" ca="1" si="31"/>
        <v>0</v>
      </c>
      <c r="AB117" s="1">
        <f t="shared" si="39"/>
        <v>15350040.000000002</v>
      </c>
      <c r="AD117" s="2">
        <f t="shared" si="33"/>
        <v>0</v>
      </c>
    </row>
    <row r="118" spans="1:30">
      <c r="A118" t="s">
        <v>301</v>
      </c>
      <c r="B118" t="s">
        <v>8</v>
      </c>
      <c r="C118" t="str">
        <f>VLOOKUP(B118,'1. Master Data'!$C:$K,9,0)</f>
        <v>Nệm T&amp;N Foam 180 x 200 x 10 cm</v>
      </c>
      <c r="D118" t="str">
        <f>VLOOKUP(E118,'0. Mã Supplier'!$B:$C,2,0)</f>
        <v>SUVN0002</v>
      </c>
      <c r="E118" t="s">
        <v>111</v>
      </c>
      <c r="F118" t="s">
        <v>290</v>
      </c>
      <c r="G118" s="1">
        <v>11</v>
      </c>
      <c r="H118" s="1">
        <v>11</v>
      </c>
      <c r="I118" s="1">
        <f>VLOOKUP($B118,'1. Master Data'!$C:$AB,26,0)</f>
        <v>1585400</v>
      </c>
      <c r="J118" s="1">
        <f t="shared" si="34"/>
        <v>17439400</v>
      </c>
      <c r="K118" s="1">
        <f t="shared" si="35"/>
        <v>18834552</v>
      </c>
      <c r="N118" s="24">
        <v>45826</v>
      </c>
      <c r="O118" s="54">
        <f t="shared" si="28"/>
        <v>45826</v>
      </c>
      <c r="P118">
        <f t="shared" si="44"/>
        <v>6</v>
      </c>
      <c r="Q118">
        <f t="shared" si="45"/>
        <v>2025</v>
      </c>
      <c r="R118" t="s">
        <v>291</v>
      </c>
      <c r="T118" s="43">
        <v>45826</v>
      </c>
      <c r="U118">
        <f>VLOOKUP($E118,'0. Mã Supplier'!$B:$F,5,0)</f>
        <v>30</v>
      </c>
      <c r="V118" s="53">
        <f t="shared" si="27"/>
        <v>45856</v>
      </c>
      <c r="W118" s="56">
        <f t="shared" si="29"/>
        <v>29</v>
      </c>
      <c r="X118" s="47">
        <f t="shared" si="36"/>
        <v>7</v>
      </c>
      <c r="Y118" s="47">
        <f t="shared" si="30"/>
        <v>2025</v>
      </c>
      <c r="Z118" t="s">
        <v>261</v>
      </c>
      <c r="AA118" s="45">
        <f t="shared" ca="1" si="31"/>
        <v>0</v>
      </c>
      <c r="AB118" s="1">
        <f t="shared" si="39"/>
        <v>18834552</v>
      </c>
      <c r="AD118" s="2">
        <f t="shared" si="33"/>
        <v>0</v>
      </c>
    </row>
    <row r="119" spans="1:30">
      <c r="A119" t="s">
        <v>301</v>
      </c>
      <c r="B119" t="s">
        <v>11</v>
      </c>
      <c r="C119" t="str">
        <f>VLOOKUP(B119,'1. Master Data'!$C:$K,9,0)</f>
        <v>Nệm T&amp;N Foam 160 x 200 x 20 cm</v>
      </c>
      <c r="D119" t="str">
        <f>VLOOKUP(E119,'0. Mã Supplier'!$B:$C,2,0)</f>
        <v>SUVN0002</v>
      </c>
      <c r="E119" t="s">
        <v>111</v>
      </c>
      <c r="F119" t="s">
        <v>290</v>
      </c>
      <c r="G119" s="1">
        <v>6</v>
      </c>
      <c r="H119" s="1">
        <v>6</v>
      </c>
      <c r="I119" s="1">
        <f>VLOOKUP($B119,'1. Master Data'!$C:$AB,26,0)</f>
        <v>2265800</v>
      </c>
      <c r="J119" s="1">
        <f t="shared" si="34"/>
        <v>13594800</v>
      </c>
      <c r="K119" s="1">
        <f t="shared" si="35"/>
        <v>14682384.000000002</v>
      </c>
      <c r="N119" s="24">
        <v>45826</v>
      </c>
      <c r="O119" s="54">
        <f t="shared" si="28"/>
        <v>45826</v>
      </c>
      <c r="P119">
        <f t="shared" si="44"/>
        <v>6</v>
      </c>
      <c r="Q119">
        <f t="shared" si="45"/>
        <v>2025</v>
      </c>
      <c r="R119" t="s">
        <v>291</v>
      </c>
      <c r="T119" s="43">
        <v>45826</v>
      </c>
      <c r="U119">
        <f>VLOOKUP($E119,'0. Mã Supplier'!$B:$F,5,0)</f>
        <v>30</v>
      </c>
      <c r="V119" s="53">
        <f t="shared" si="27"/>
        <v>45856</v>
      </c>
      <c r="W119" s="56">
        <f t="shared" si="29"/>
        <v>29</v>
      </c>
      <c r="X119" s="47">
        <f t="shared" si="36"/>
        <v>7</v>
      </c>
      <c r="Y119" s="47">
        <f t="shared" si="30"/>
        <v>2025</v>
      </c>
      <c r="Z119" t="s">
        <v>261</v>
      </c>
      <c r="AA119" s="45">
        <f t="shared" ca="1" si="31"/>
        <v>0</v>
      </c>
      <c r="AB119" s="1">
        <f t="shared" si="39"/>
        <v>14682384.000000002</v>
      </c>
      <c r="AD119" s="2">
        <f t="shared" si="33"/>
        <v>0</v>
      </c>
    </row>
    <row r="120" spans="1:30">
      <c r="A120" t="s">
        <v>302</v>
      </c>
      <c r="B120" t="s">
        <v>6</v>
      </c>
      <c r="C120" t="str">
        <f>VLOOKUP(B120,'1. Master Data'!$C:$K,9,0)</f>
        <v>Nệm T&amp;N Foam 120 x 200 x 10 cm</v>
      </c>
      <c r="D120" t="str">
        <f>VLOOKUP(E120,'0. Mã Supplier'!$B:$C,2,0)</f>
        <v>SUVN0002</v>
      </c>
      <c r="E120" t="s">
        <v>111</v>
      </c>
      <c r="F120" t="s">
        <v>290</v>
      </c>
      <c r="G120" s="1">
        <v>5</v>
      </c>
      <c r="H120" s="1">
        <v>5</v>
      </c>
      <c r="I120" s="1">
        <f>VLOOKUP($B120,'1. Master Data'!$C:$AB,26,0)</f>
        <v>1073100</v>
      </c>
      <c r="J120" s="1">
        <f t="shared" si="34"/>
        <v>5365500</v>
      </c>
      <c r="K120" s="1">
        <f t="shared" si="35"/>
        <v>5794740</v>
      </c>
      <c r="N120" s="24">
        <v>45840</v>
      </c>
      <c r="O120" s="54">
        <f t="shared" si="28"/>
        <v>45840</v>
      </c>
      <c r="P120">
        <f t="shared" si="44"/>
        <v>7</v>
      </c>
      <c r="Q120">
        <f t="shared" si="45"/>
        <v>2025</v>
      </c>
      <c r="R120" t="s">
        <v>291</v>
      </c>
      <c r="T120" s="43">
        <v>45840</v>
      </c>
      <c r="U120">
        <f>VLOOKUP($E120,'0. Mã Supplier'!$B:$F,5,0)</f>
        <v>30</v>
      </c>
      <c r="V120" s="53">
        <f t="shared" si="27"/>
        <v>45870</v>
      </c>
      <c r="W120" s="56">
        <f t="shared" si="29"/>
        <v>31</v>
      </c>
      <c r="X120" s="47">
        <f t="shared" si="36"/>
        <v>8</v>
      </c>
      <c r="Y120" s="47">
        <f t="shared" si="30"/>
        <v>2025</v>
      </c>
      <c r="Z120" t="s">
        <v>261</v>
      </c>
      <c r="AA120" s="45">
        <f t="shared" ca="1" si="31"/>
        <v>0</v>
      </c>
      <c r="AB120" s="1">
        <f t="shared" si="39"/>
        <v>5794740</v>
      </c>
      <c r="AD120" s="2">
        <f t="shared" si="33"/>
        <v>0</v>
      </c>
    </row>
    <row r="121" spans="1:30">
      <c r="A121" t="s">
        <v>302</v>
      </c>
      <c r="B121" t="s">
        <v>7</v>
      </c>
      <c r="C121" t="str">
        <f>VLOOKUP(B121,'1. Master Data'!$C:$K,9,0)</f>
        <v>Nệm T&amp;N Foam 160 x 200 x 10 cm</v>
      </c>
      <c r="D121" t="str">
        <f>VLOOKUP(E121,'0. Mã Supplier'!$B:$C,2,0)</f>
        <v>SUVN0002</v>
      </c>
      <c r="E121" t="s">
        <v>111</v>
      </c>
      <c r="F121" t="s">
        <v>290</v>
      </c>
      <c r="G121" s="1">
        <v>10</v>
      </c>
      <c r="H121" s="1">
        <v>10</v>
      </c>
      <c r="I121" s="1">
        <f>VLOOKUP($B121,'1. Master Data'!$C:$AB,26,0)</f>
        <v>1421300</v>
      </c>
      <c r="J121" s="1">
        <f t="shared" si="34"/>
        <v>14213000</v>
      </c>
      <c r="K121" s="1">
        <f t="shared" si="35"/>
        <v>15350040.000000002</v>
      </c>
      <c r="N121" s="24">
        <v>45840</v>
      </c>
      <c r="O121" s="54">
        <f t="shared" si="28"/>
        <v>45840</v>
      </c>
      <c r="P121">
        <f t="shared" si="44"/>
        <v>7</v>
      </c>
      <c r="Q121">
        <f t="shared" si="45"/>
        <v>2025</v>
      </c>
      <c r="R121" t="s">
        <v>291</v>
      </c>
      <c r="T121" s="43">
        <v>45840</v>
      </c>
      <c r="U121">
        <f>VLOOKUP($E121,'0. Mã Supplier'!$B:$F,5,0)</f>
        <v>30</v>
      </c>
      <c r="V121" s="53">
        <f t="shared" si="27"/>
        <v>45870</v>
      </c>
      <c r="W121" s="56">
        <f t="shared" si="29"/>
        <v>31</v>
      </c>
      <c r="X121" s="47">
        <f t="shared" si="36"/>
        <v>8</v>
      </c>
      <c r="Y121" s="47">
        <f t="shared" si="30"/>
        <v>2025</v>
      </c>
      <c r="Z121" t="s">
        <v>261</v>
      </c>
      <c r="AA121" s="45">
        <f t="shared" ca="1" si="31"/>
        <v>0</v>
      </c>
      <c r="AB121" s="1">
        <f t="shared" si="39"/>
        <v>15350040.000000002</v>
      </c>
      <c r="AD121" s="2">
        <f t="shared" si="33"/>
        <v>0</v>
      </c>
    </row>
    <row r="122" spans="1:30">
      <c r="A122" t="s">
        <v>302</v>
      </c>
      <c r="B122" t="s">
        <v>8</v>
      </c>
      <c r="C122" t="str">
        <f>VLOOKUP(B122,'1. Master Data'!$C:$K,9,0)</f>
        <v>Nệm T&amp;N Foam 180 x 200 x 10 cm</v>
      </c>
      <c r="D122" t="str">
        <f>VLOOKUP(E122,'0. Mã Supplier'!$B:$C,2,0)</f>
        <v>SUVN0002</v>
      </c>
      <c r="E122" t="s">
        <v>111</v>
      </c>
      <c r="F122" t="s">
        <v>290</v>
      </c>
      <c r="G122" s="1">
        <v>10</v>
      </c>
      <c r="H122" s="1">
        <v>10</v>
      </c>
      <c r="I122" s="1">
        <f>VLOOKUP($B122,'1. Master Data'!$C:$AB,26,0)</f>
        <v>1585400</v>
      </c>
      <c r="J122" s="1">
        <f t="shared" si="34"/>
        <v>15854000</v>
      </c>
      <c r="K122" s="1">
        <f t="shared" si="35"/>
        <v>17122320</v>
      </c>
      <c r="N122" s="24">
        <v>45840</v>
      </c>
      <c r="O122" s="54">
        <f t="shared" si="28"/>
        <v>45840</v>
      </c>
      <c r="P122">
        <f t="shared" si="44"/>
        <v>7</v>
      </c>
      <c r="Q122">
        <f t="shared" si="45"/>
        <v>2025</v>
      </c>
      <c r="R122" t="s">
        <v>291</v>
      </c>
      <c r="T122" s="43">
        <v>45840</v>
      </c>
      <c r="U122">
        <f>VLOOKUP($E122,'0. Mã Supplier'!$B:$F,5,0)</f>
        <v>30</v>
      </c>
      <c r="V122" s="53">
        <f t="shared" si="27"/>
        <v>45870</v>
      </c>
      <c r="W122" s="56">
        <f t="shared" si="29"/>
        <v>31</v>
      </c>
      <c r="X122" s="47">
        <f t="shared" si="36"/>
        <v>8</v>
      </c>
      <c r="Y122" s="47">
        <f t="shared" si="30"/>
        <v>2025</v>
      </c>
      <c r="Z122" t="s">
        <v>261</v>
      </c>
      <c r="AA122" s="45">
        <f t="shared" ca="1" si="31"/>
        <v>0</v>
      </c>
      <c r="AB122" s="1">
        <f t="shared" si="39"/>
        <v>17122320</v>
      </c>
      <c r="AD122" s="2">
        <f t="shared" si="33"/>
        <v>0</v>
      </c>
    </row>
    <row r="123" spans="1:30">
      <c r="A123" t="s">
        <v>302</v>
      </c>
      <c r="B123" t="s">
        <v>10</v>
      </c>
      <c r="C123" t="str">
        <f>VLOOKUP(B123,'1. Master Data'!$C:$K,9,0)</f>
        <v>Nệm T&amp;N Foam 180 x 200 x 15 cm</v>
      </c>
      <c r="D123" t="str">
        <f>VLOOKUP(E123,'0. Mã Supplier'!$B:$C,2,0)</f>
        <v>SUVN0002</v>
      </c>
      <c r="E123" t="s">
        <v>111</v>
      </c>
      <c r="F123" t="s">
        <v>290</v>
      </c>
      <c r="G123" s="1">
        <v>10</v>
      </c>
      <c r="H123" s="1">
        <v>10</v>
      </c>
      <c r="I123" s="1">
        <f>VLOOKUP($B123,'1. Master Data'!$C:$AB,26,0)</f>
        <v>1979600</v>
      </c>
      <c r="J123" s="1">
        <f t="shared" si="34"/>
        <v>19796000</v>
      </c>
      <c r="K123" s="1">
        <f t="shared" si="35"/>
        <v>21379680</v>
      </c>
      <c r="N123" s="24">
        <v>45840</v>
      </c>
      <c r="O123" s="54">
        <f t="shared" si="28"/>
        <v>45840</v>
      </c>
      <c r="P123">
        <f t="shared" si="44"/>
        <v>7</v>
      </c>
      <c r="Q123">
        <f t="shared" si="45"/>
        <v>2025</v>
      </c>
      <c r="R123" t="s">
        <v>291</v>
      </c>
      <c r="T123" s="43">
        <v>45840</v>
      </c>
      <c r="U123">
        <f>VLOOKUP($E123,'0. Mã Supplier'!$B:$F,5,0)</f>
        <v>30</v>
      </c>
      <c r="V123" s="53">
        <f t="shared" si="27"/>
        <v>45870</v>
      </c>
      <c r="W123" s="56">
        <f t="shared" si="29"/>
        <v>31</v>
      </c>
      <c r="X123" s="47">
        <f t="shared" si="36"/>
        <v>8</v>
      </c>
      <c r="Y123" s="47">
        <f t="shared" si="30"/>
        <v>2025</v>
      </c>
      <c r="Z123" t="s">
        <v>261</v>
      </c>
      <c r="AA123" s="45">
        <f t="shared" ca="1" si="31"/>
        <v>0</v>
      </c>
      <c r="AB123" s="1">
        <f t="shared" si="39"/>
        <v>21379680</v>
      </c>
      <c r="AD123" s="2">
        <f t="shared" si="33"/>
        <v>0</v>
      </c>
    </row>
    <row r="124" spans="1:30">
      <c r="A124" t="s">
        <v>302</v>
      </c>
      <c r="B124" t="s">
        <v>11</v>
      </c>
      <c r="C124" t="str">
        <f>VLOOKUP(B124,'1. Master Data'!$C:$K,9,0)</f>
        <v>Nệm T&amp;N Foam 160 x 200 x 20 cm</v>
      </c>
      <c r="D124" t="str">
        <f>VLOOKUP(E124,'0. Mã Supplier'!$B:$C,2,0)</f>
        <v>SUVN0002</v>
      </c>
      <c r="E124" t="s">
        <v>111</v>
      </c>
      <c r="F124" t="s">
        <v>290</v>
      </c>
      <c r="G124" s="1">
        <v>10</v>
      </c>
      <c r="H124" s="1">
        <v>10</v>
      </c>
      <c r="I124" s="1">
        <f>VLOOKUP($B124,'1. Master Data'!$C:$AB,26,0)</f>
        <v>2265800</v>
      </c>
      <c r="J124" s="1">
        <f t="shared" si="34"/>
        <v>22658000</v>
      </c>
      <c r="K124" s="1">
        <f t="shared" si="35"/>
        <v>24470640</v>
      </c>
      <c r="N124" s="24">
        <v>45840</v>
      </c>
      <c r="O124" s="54">
        <f t="shared" si="28"/>
        <v>45840</v>
      </c>
      <c r="P124">
        <f t="shared" si="44"/>
        <v>7</v>
      </c>
      <c r="Q124">
        <f t="shared" si="45"/>
        <v>2025</v>
      </c>
      <c r="R124" t="s">
        <v>291</v>
      </c>
      <c r="T124" s="43">
        <v>45840</v>
      </c>
      <c r="U124">
        <f>VLOOKUP($E124,'0. Mã Supplier'!$B:$F,5,0)</f>
        <v>30</v>
      </c>
      <c r="V124" s="53">
        <f t="shared" si="27"/>
        <v>45870</v>
      </c>
      <c r="W124" s="56">
        <f t="shared" si="29"/>
        <v>31</v>
      </c>
      <c r="X124" s="47">
        <f t="shared" si="36"/>
        <v>8</v>
      </c>
      <c r="Y124" s="47">
        <f t="shared" si="30"/>
        <v>2025</v>
      </c>
      <c r="Z124" t="s">
        <v>261</v>
      </c>
      <c r="AA124" s="45">
        <f t="shared" ca="1" si="31"/>
        <v>0</v>
      </c>
      <c r="AB124" s="1">
        <f t="shared" si="39"/>
        <v>24470640</v>
      </c>
      <c r="AD124" s="2">
        <f t="shared" si="33"/>
        <v>0</v>
      </c>
    </row>
    <row r="125" spans="1:30">
      <c r="A125" t="s">
        <v>302</v>
      </c>
      <c r="B125" t="s">
        <v>12</v>
      </c>
      <c r="C125" t="str">
        <f>VLOOKUP(B125,'1. Master Data'!$C:$K,9,0)</f>
        <v>Nệm T&amp;N Foam 180 x 200 x 20 cm</v>
      </c>
      <c r="D125" t="str">
        <f>VLOOKUP(E125,'0. Mã Supplier'!$B:$C,2,0)</f>
        <v>SUVN0002</v>
      </c>
      <c r="E125" t="s">
        <v>111</v>
      </c>
      <c r="F125" t="s">
        <v>290</v>
      </c>
      <c r="G125" s="1">
        <v>5</v>
      </c>
      <c r="H125" s="1">
        <v>5</v>
      </c>
      <c r="I125" s="1">
        <f>VLOOKUP($B125,'1. Master Data'!$C:$AB,26,0)</f>
        <v>2531500</v>
      </c>
      <c r="J125" s="1">
        <f t="shared" si="34"/>
        <v>12657500</v>
      </c>
      <c r="K125" s="1">
        <f t="shared" si="35"/>
        <v>13670100</v>
      </c>
      <c r="N125" s="24">
        <v>45840</v>
      </c>
      <c r="O125" s="54">
        <f t="shared" si="28"/>
        <v>45840</v>
      </c>
      <c r="P125">
        <f t="shared" si="44"/>
        <v>7</v>
      </c>
      <c r="Q125">
        <f t="shared" si="45"/>
        <v>2025</v>
      </c>
      <c r="R125" t="s">
        <v>291</v>
      </c>
      <c r="T125" s="43">
        <v>45840</v>
      </c>
      <c r="U125">
        <f>VLOOKUP($E125,'0. Mã Supplier'!$B:$F,5,0)</f>
        <v>30</v>
      </c>
      <c r="V125" s="53">
        <f t="shared" si="27"/>
        <v>45870</v>
      </c>
      <c r="W125" s="56">
        <f t="shared" si="29"/>
        <v>31</v>
      </c>
      <c r="X125" s="47">
        <f t="shared" si="36"/>
        <v>8</v>
      </c>
      <c r="Y125" s="47">
        <f t="shared" si="30"/>
        <v>2025</v>
      </c>
      <c r="Z125" t="s">
        <v>261</v>
      </c>
      <c r="AA125" s="45">
        <f t="shared" ca="1" si="31"/>
        <v>0</v>
      </c>
      <c r="AB125" s="1">
        <f t="shared" si="39"/>
        <v>13670100</v>
      </c>
      <c r="AD125" s="2">
        <f t="shared" si="33"/>
        <v>0</v>
      </c>
    </row>
    <row r="126" spans="1:30">
      <c r="A126" t="s">
        <v>302</v>
      </c>
      <c r="B126" t="s">
        <v>39</v>
      </c>
      <c r="C126" t="str">
        <f>VLOOKUP(B126,'1. Master Data'!$C:$K,9,0)</f>
        <v>Gối T&amp;N contour (Cứng) 30 x 50 x 8/10 cm</v>
      </c>
      <c r="D126" t="str">
        <f>VLOOKUP(E126,'0. Mã Supplier'!$B:$C,2,0)</f>
        <v>SUVN0002</v>
      </c>
      <c r="E126" t="s">
        <v>111</v>
      </c>
      <c r="F126" t="s">
        <v>290</v>
      </c>
      <c r="G126" s="1">
        <v>25</v>
      </c>
      <c r="H126" s="1">
        <v>25</v>
      </c>
      <c r="I126" s="1">
        <f>VLOOKUP($B126,'1. Master Data'!$C:$AB,26,0)</f>
        <v>116100</v>
      </c>
      <c r="J126" s="1">
        <f t="shared" si="34"/>
        <v>2902500</v>
      </c>
      <c r="K126" s="1">
        <f t="shared" si="35"/>
        <v>3134700</v>
      </c>
      <c r="N126" s="24">
        <v>45840</v>
      </c>
      <c r="O126" s="54">
        <f t="shared" si="28"/>
        <v>45840</v>
      </c>
      <c r="P126">
        <f t="shared" ref="P126:P129" si="46">MONTH(N126)</f>
        <v>7</v>
      </c>
      <c r="Q126">
        <f t="shared" ref="Q126:Q129" si="47">YEAR(N126)</f>
        <v>2025</v>
      </c>
      <c r="R126" t="s">
        <v>291</v>
      </c>
      <c r="T126" s="43">
        <v>45840</v>
      </c>
      <c r="U126">
        <f>VLOOKUP($E126,'0. Mã Supplier'!$B:$F,5,0)</f>
        <v>30</v>
      </c>
      <c r="V126" s="53">
        <f t="shared" si="27"/>
        <v>45870</v>
      </c>
      <c r="W126" s="56">
        <f t="shared" si="29"/>
        <v>31</v>
      </c>
      <c r="X126" s="47">
        <f t="shared" si="36"/>
        <v>8</v>
      </c>
      <c r="Y126" s="47">
        <f t="shared" si="30"/>
        <v>2025</v>
      </c>
      <c r="Z126" t="s">
        <v>261</v>
      </c>
      <c r="AA126" s="45">
        <f t="shared" ca="1" si="31"/>
        <v>0</v>
      </c>
      <c r="AB126" s="1">
        <f t="shared" ref="AB126:AB129" si="48">IF(Z126="Yes",K126)</f>
        <v>3134700</v>
      </c>
      <c r="AD126" s="2">
        <f t="shared" si="33"/>
        <v>0</v>
      </c>
    </row>
    <row r="127" spans="1:30">
      <c r="A127" t="s">
        <v>302</v>
      </c>
      <c r="B127" t="s">
        <v>40</v>
      </c>
      <c r="C127" t="str">
        <f>VLOOKUP(B127,'1. Master Data'!$C:$K,9,0)</f>
        <v>Gối T&amp;N contour (Cứng) 40 x 60 x 10/12 cm</v>
      </c>
      <c r="D127" t="str">
        <f>VLOOKUP(E127,'0. Mã Supplier'!$B:$C,2,0)</f>
        <v>SUVN0002</v>
      </c>
      <c r="E127" t="s">
        <v>111</v>
      </c>
      <c r="F127" t="s">
        <v>290</v>
      </c>
      <c r="G127" s="1">
        <v>2</v>
      </c>
      <c r="H127" s="1">
        <v>2</v>
      </c>
      <c r="I127" s="1">
        <f>VLOOKUP($B127,'1. Master Data'!$C:$AB,26,0)</f>
        <v>143100</v>
      </c>
      <c r="J127" s="1">
        <f t="shared" si="34"/>
        <v>286200</v>
      </c>
      <c r="K127" s="1">
        <f t="shared" si="35"/>
        <v>309096</v>
      </c>
      <c r="N127" s="24">
        <v>45840</v>
      </c>
      <c r="O127" s="54">
        <f t="shared" si="28"/>
        <v>45840</v>
      </c>
      <c r="P127">
        <f t="shared" si="46"/>
        <v>7</v>
      </c>
      <c r="Q127">
        <f t="shared" si="47"/>
        <v>2025</v>
      </c>
      <c r="R127" t="s">
        <v>291</v>
      </c>
      <c r="T127" s="43">
        <v>45840</v>
      </c>
      <c r="U127">
        <f>VLOOKUP($E127,'0. Mã Supplier'!$B:$F,5,0)</f>
        <v>30</v>
      </c>
      <c r="V127" s="53">
        <f t="shared" si="27"/>
        <v>45870</v>
      </c>
      <c r="W127" s="56">
        <f t="shared" si="29"/>
        <v>31</v>
      </c>
      <c r="X127" s="47">
        <f t="shared" si="36"/>
        <v>8</v>
      </c>
      <c r="Y127" s="47">
        <f t="shared" si="30"/>
        <v>2025</v>
      </c>
      <c r="Z127" t="s">
        <v>261</v>
      </c>
      <c r="AA127" s="45">
        <f t="shared" ca="1" si="31"/>
        <v>0</v>
      </c>
      <c r="AB127" s="1">
        <f t="shared" si="48"/>
        <v>309096</v>
      </c>
      <c r="AD127" s="2">
        <f t="shared" si="33"/>
        <v>0</v>
      </c>
    </row>
    <row r="128" spans="1:30">
      <c r="A128" t="s">
        <v>302</v>
      </c>
      <c r="B128" t="s">
        <v>41</v>
      </c>
      <c r="C128" t="str">
        <f>VLOOKUP(B128,'1. Master Data'!$C:$K,9,0)</f>
        <v>Gối T&amp;N contour (Mềm) 30 x 50 x 8/10 cm</v>
      </c>
      <c r="D128" t="str">
        <f>VLOOKUP(E128,'0. Mã Supplier'!$B:$C,2,0)</f>
        <v>SUVN0002</v>
      </c>
      <c r="E128" t="s">
        <v>111</v>
      </c>
      <c r="F128" t="s">
        <v>290</v>
      </c>
      <c r="G128" s="1">
        <v>25</v>
      </c>
      <c r="H128" s="1">
        <v>25</v>
      </c>
      <c r="I128" s="1">
        <f>VLOOKUP($B128,'1. Master Data'!$C:$AB,26,0)</f>
        <v>139000</v>
      </c>
      <c r="J128" s="1">
        <f t="shared" si="34"/>
        <v>3475000</v>
      </c>
      <c r="K128" s="1">
        <f t="shared" si="35"/>
        <v>3753000.0000000005</v>
      </c>
      <c r="N128" s="24">
        <v>45840</v>
      </c>
      <c r="O128" s="54">
        <f t="shared" si="28"/>
        <v>45840</v>
      </c>
      <c r="P128">
        <f t="shared" si="46"/>
        <v>7</v>
      </c>
      <c r="Q128">
        <f t="shared" si="47"/>
        <v>2025</v>
      </c>
      <c r="R128" t="s">
        <v>291</v>
      </c>
      <c r="T128" s="43">
        <v>45840</v>
      </c>
      <c r="U128">
        <f>VLOOKUP($E128,'0. Mã Supplier'!$B:$F,5,0)</f>
        <v>30</v>
      </c>
      <c r="V128" s="53">
        <f t="shared" si="27"/>
        <v>45870</v>
      </c>
      <c r="W128" s="56">
        <f t="shared" si="29"/>
        <v>31</v>
      </c>
      <c r="X128" s="47">
        <f t="shared" si="36"/>
        <v>8</v>
      </c>
      <c r="Y128" s="47">
        <f t="shared" si="30"/>
        <v>2025</v>
      </c>
      <c r="Z128" t="s">
        <v>261</v>
      </c>
      <c r="AA128" s="45">
        <f t="shared" ca="1" si="31"/>
        <v>0</v>
      </c>
      <c r="AB128" s="1">
        <f t="shared" si="48"/>
        <v>3753000.0000000005</v>
      </c>
      <c r="AD128" s="2">
        <f t="shared" si="33"/>
        <v>0</v>
      </c>
    </row>
    <row r="129" spans="1:30">
      <c r="A129" t="s">
        <v>302</v>
      </c>
      <c r="B129" t="s">
        <v>42</v>
      </c>
      <c r="C129" t="str">
        <f>VLOOKUP(B129,'1. Master Data'!$C:$K,9,0)</f>
        <v>Gối T&amp;N contour (Mềm) 40 x 60 x 10/12 cm</v>
      </c>
      <c r="D129" t="str">
        <f>VLOOKUP(E129,'0. Mã Supplier'!$B:$C,2,0)</f>
        <v>SUVN0002</v>
      </c>
      <c r="E129" t="s">
        <v>111</v>
      </c>
      <c r="F129" t="s">
        <v>290</v>
      </c>
      <c r="G129" s="1">
        <v>25</v>
      </c>
      <c r="H129" s="1">
        <v>25</v>
      </c>
      <c r="I129" s="1">
        <f>VLOOKUP($B129,'1. Master Data'!$C:$AB,26,0)</f>
        <v>181000</v>
      </c>
      <c r="J129" s="1">
        <f t="shared" si="34"/>
        <v>4525000</v>
      </c>
      <c r="K129" s="1">
        <f t="shared" si="35"/>
        <v>4887000</v>
      </c>
      <c r="N129" s="24">
        <v>45840</v>
      </c>
      <c r="O129" s="54">
        <f t="shared" si="28"/>
        <v>45840</v>
      </c>
      <c r="P129">
        <f t="shared" si="46"/>
        <v>7</v>
      </c>
      <c r="Q129">
        <f t="shared" si="47"/>
        <v>2025</v>
      </c>
      <c r="R129" t="s">
        <v>291</v>
      </c>
      <c r="T129" s="43">
        <v>45840</v>
      </c>
      <c r="U129">
        <f>VLOOKUP($E129,'0. Mã Supplier'!$B:$F,5,0)</f>
        <v>30</v>
      </c>
      <c r="V129" s="53">
        <f t="shared" si="27"/>
        <v>45870</v>
      </c>
      <c r="W129" s="56">
        <f t="shared" si="29"/>
        <v>31</v>
      </c>
      <c r="X129" s="47">
        <f t="shared" si="36"/>
        <v>8</v>
      </c>
      <c r="Y129" s="47">
        <f t="shared" si="30"/>
        <v>2025</v>
      </c>
      <c r="Z129" t="s">
        <v>261</v>
      </c>
      <c r="AA129" s="45">
        <f t="shared" ca="1" si="31"/>
        <v>0</v>
      </c>
      <c r="AB129" s="1">
        <f t="shared" si="48"/>
        <v>4887000</v>
      </c>
      <c r="AD129" s="2">
        <f t="shared" si="33"/>
        <v>0</v>
      </c>
    </row>
    <row r="130" spans="1:30">
      <c r="A130" t="s">
        <v>303</v>
      </c>
      <c r="B130" t="s">
        <v>6</v>
      </c>
      <c r="C130" t="str">
        <f>VLOOKUP(B130,'1. Master Data'!$C:$K,9,0)</f>
        <v>Nệm T&amp;N Foam 120 x 200 x 10 cm</v>
      </c>
      <c r="D130" t="str">
        <f>VLOOKUP(E130,'0. Mã Supplier'!$B:$C,2,0)</f>
        <v>SUVN0002</v>
      </c>
      <c r="E130" t="s">
        <v>111</v>
      </c>
      <c r="F130" t="s">
        <v>290</v>
      </c>
      <c r="G130">
        <v>30</v>
      </c>
      <c r="H130" s="1">
        <v>30</v>
      </c>
      <c r="I130" s="1">
        <f>VLOOKUP($B130,'1. Master Data'!$C:$AB,26,0)</f>
        <v>1073100</v>
      </c>
      <c r="J130" s="1">
        <f t="shared" si="34"/>
        <v>32193000</v>
      </c>
      <c r="K130" s="1">
        <f t="shared" si="35"/>
        <v>34768440</v>
      </c>
      <c r="L130" s="24">
        <v>45853</v>
      </c>
      <c r="M130" s="24">
        <v>45878</v>
      </c>
      <c r="N130" s="24">
        <v>45878</v>
      </c>
      <c r="O130" s="54">
        <f t="shared" si="28"/>
        <v>25</v>
      </c>
      <c r="P130">
        <f t="shared" si="44"/>
        <v>8</v>
      </c>
      <c r="Q130">
        <f t="shared" si="45"/>
        <v>2025</v>
      </c>
      <c r="R130" t="s">
        <v>291</v>
      </c>
      <c r="T130" s="43">
        <f>N130</f>
        <v>45878</v>
      </c>
      <c r="U130">
        <f>VLOOKUP($E130,'0. Mã Supplier'!$B:$F,5,0)</f>
        <v>30</v>
      </c>
      <c r="V130" s="53">
        <f t="shared" ref="V130:V176" si="49">T130+U130</f>
        <v>45908</v>
      </c>
      <c r="W130" s="56">
        <f t="shared" si="29"/>
        <v>37</v>
      </c>
      <c r="X130" s="47">
        <f t="shared" si="36"/>
        <v>9</v>
      </c>
      <c r="Y130" s="47">
        <f t="shared" si="30"/>
        <v>2025</v>
      </c>
      <c r="AA130" s="45">
        <f t="shared" ca="1" si="31"/>
        <v>356</v>
      </c>
      <c r="AB130" s="1">
        <v>50000000</v>
      </c>
      <c r="AD130" s="2">
        <f t="shared" si="33"/>
        <v>-15231560</v>
      </c>
    </row>
    <row r="131" spans="1:30">
      <c r="A131" t="s">
        <v>303</v>
      </c>
      <c r="B131" t="s">
        <v>7</v>
      </c>
      <c r="C131" t="str">
        <f>VLOOKUP(B131,'1. Master Data'!$C:$K,9,0)</f>
        <v>Nệm T&amp;N Foam 160 x 200 x 10 cm</v>
      </c>
      <c r="D131" t="str">
        <f>VLOOKUP(E131,'0. Mã Supplier'!$B:$C,2,0)</f>
        <v>SUVN0002</v>
      </c>
      <c r="E131" t="s">
        <v>111</v>
      </c>
      <c r="F131" t="s">
        <v>290</v>
      </c>
      <c r="G131">
        <v>30</v>
      </c>
      <c r="H131" s="1">
        <v>30</v>
      </c>
      <c r="I131" s="1">
        <f>VLOOKUP($B131,'1. Master Data'!$C:$AB,26,0)</f>
        <v>1421300</v>
      </c>
      <c r="J131" s="1">
        <f t="shared" si="34"/>
        <v>42639000</v>
      </c>
      <c r="K131" s="1">
        <f t="shared" si="35"/>
        <v>46050120</v>
      </c>
      <c r="L131" s="24">
        <v>45853</v>
      </c>
      <c r="M131" s="24">
        <v>45878</v>
      </c>
      <c r="N131" s="24">
        <v>45878</v>
      </c>
      <c r="O131" s="54">
        <f t="shared" ref="O131:O176" si="50">N131-L131</f>
        <v>25</v>
      </c>
      <c r="P131">
        <f t="shared" ref="P131:P140" si="51">MONTH(N131)</f>
        <v>8</v>
      </c>
      <c r="Q131">
        <f t="shared" ref="Q131:Q140" si="52">YEAR(N131)</f>
        <v>2025</v>
      </c>
      <c r="R131" t="s">
        <v>291</v>
      </c>
      <c r="T131" s="43">
        <f t="shared" ref="T131:T139" si="53">N131</f>
        <v>45878</v>
      </c>
      <c r="U131">
        <f>VLOOKUP($E131,'0. Mã Supplier'!$B:$F,5,0)</f>
        <v>30</v>
      </c>
      <c r="V131" s="53">
        <f t="shared" si="49"/>
        <v>45908</v>
      </c>
      <c r="W131" s="56">
        <f t="shared" ref="W131:W183" si="54">WEEKNUM(V131)</f>
        <v>37</v>
      </c>
      <c r="X131" s="47">
        <f t="shared" ref="X131:X176" si="55">IF(V131&lt;&gt;0,MONTH(V131),"")</f>
        <v>9</v>
      </c>
      <c r="Y131" s="47">
        <f t="shared" ref="Y131:Y183" si="56">YEAR(V131)</f>
        <v>2025</v>
      </c>
      <c r="AA131" s="45">
        <f t="shared" ref="AA131:AA183" ca="1" si="57">IF(Z131="yes",0,TODAY()-V131)</f>
        <v>356</v>
      </c>
      <c r="AB131" s="1">
        <v>35000000</v>
      </c>
      <c r="AD131" s="2">
        <f t="shared" ref="AD131:AD183" si="58">IFERROR(K131-AB131,0)</f>
        <v>11050120</v>
      </c>
    </row>
    <row r="132" spans="1:30">
      <c r="A132" t="s">
        <v>303</v>
      </c>
      <c r="B132" t="s">
        <v>8</v>
      </c>
      <c r="C132" t="str">
        <f>VLOOKUP(B132,'1. Master Data'!$C:$K,9,0)</f>
        <v>Nệm T&amp;N Foam 180 x 200 x 10 cm</v>
      </c>
      <c r="D132" t="str">
        <f>VLOOKUP(E132,'0. Mã Supplier'!$B:$C,2,0)</f>
        <v>SUVN0002</v>
      </c>
      <c r="E132" t="s">
        <v>111</v>
      </c>
      <c r="F132" t="s">
        <v>290</v>
      </c>
      <c r="G132">
        <v>30</v>
      </c>
      <c r="H132" s="1">
        <v>30</v>
      </c>
      <c r="I132" s="1">
        <f>VLOOKUP($B132,'1. Master Data'!$C:$AB,26,0)</f>
        <v>1585400</v>
      </c>
      <c r="J132" s="1">
        <f t="shared" ref="J132:J137" si="59">I132*H132</f>
        <v>47562000</v>
      </c>
      <c r="K132" s="1">
        <f t="shared" ref="K132:K183" si="60">J132*1.08</f>
        <v>51366960</v>
      </c>
      <c r="L132" s="24">
        <v>45853</v>
      </c>
      <c r="M132" s="24">
        <v>45878</v>
      </c>
      <c r="N132" s="24">
        <v>45878</v>
      </c>
      <c r="O132" s="54">
        <f t="shared" si="50"/>
        <v>25</v>
      </c>
      <c r="P132">
        <f t="shared" si="51"/>
        <v>8</v>
      </c>
      <c r="Q132">
        <f t="shared" si="52"/>
        <v>2025</v>
      </c>
      <c r="R132" t="s">
        <v>291</v>
      </c>
      <c r="T132" s="43">
        <f t="shared" si="53"/>
        <v>45878</v>
      </c>
      <c r="U132">
        <f>VLOOKUP($E132,'0. Mã Supplier'!$B:$F,5,0)</f>
        <v>30</v>
      </c>
      <c r="V132" s="53">
        <f t="shared" si="49"/>
        <v>45908</v>
      </c>
      <c r="W132" s="56">
        <f t="shared" si="54"/>
        <v>37</v>
      </c>
      <c r="X132" s="47">
        <f t="shared" si="55"/>
        <v>9</v>
      </c>
      <c r="Y132" s="47">
        <f t="shared" si="56"/>
        <v>2025</v>
      </c>
      <c r="AA132" s="45">
        <f t="shared" ca="1" si="57"/>
        <v>356</v>
      </c>
      <c r="AB132" s="1">
        <v>50000000</v>
      </c>
      <c r="AD132" s="2">
        <f t="shared" si="58"/>
        <v>1366960</v>
      </c>
    </row>
    <row r="133" spans="1:30">
      <c r="A133" t="s">
        <v>303</v>
      </c>
      <c r="B133" t="s">
        <v>9</v>
      </c>
      <c r="C133" t="str">
        <f>VLOOKUP(B133,'1. Master Data'!$C:$K,9,0)</f>
        <v>Nệm T&amp;N Foam 160 x 200 x 15 cm</v>
      </c>
      <c r="D133" t="str">
        <f>VLOOKUP(E133,'0. Mã Supplier'!$B:$C,2,0)</f>
        <v>SUVN0002</v>
      </c>
      <c r="E133" t="s">
        <v>111</v>
      </c>
      <c r="F133" t="s">
        <v>290</v>
      </c>
      <c r="G133">
        <v>30</v>
      </c>
      <c r="H133" s="1">
        <v>30</v>
      </c>
      <c r="I133" s="1">
        <f>VLOOKUP($B133,'1. Master Data'!$C:$AB,26,0)</f>
        <v>1772300</v>
      </c>
      <c r="J133" s="1">
        <f t="shared" si="59"/>
        <v>53169000</v>
      </c>
      <c r="K133" s="1">
        <f t="shared" si="60"/>
        <v>57422520.000000007</v>
      </c>
      <c r="L133" s="24">
        <v>45853</v>
      </c>
      <c r="M133" s="24">
        <v>45878</v>
      </c>
      <c r="N133" s="24">
        <v>45878</v>
      </c>
      <c r="O133" s="54">
        <f t="shared" si="50"/>
        <v>25</v>
      </c>
      <c r="P133">
        <f t="shared" si="51"/>
        <v>8</v>
      </c>
      <c r="Q133">
        <f t="shared" si="52"/>
        <v>2025</v>
      </c>
      <c r="R133" t="s">
        <v>291</v>
      </c>
      <c r="T133" s="43">
        <f t="shared" si="53"/>
        <v>45878</v>
      </c>
      <c r="U133">
        <f>VLOOKUP($E133,'0. Mã Supplier'!$B:$F,5,0)</f>
        <v>30</v>
      </c>
      <c r="V133" s="53">
        <f t="shared" si="49"/>
        <v>45908</v>
      </c>
      <c r="W133" s="56">
        <f t="shared" si="54"/>
        <v>37</v>
      </c>
      <c r="X133" s="47">
        <f t="shared" si="55"/>
        <v>9</v>
      </c>
      <c r="Y133" s="47">
        <f t="shared" si="56"/>
        <v>2025</v>
      </c>
      <c r="AA133" s="45">
        <f t="shared" ca="1" si="57"/>
        <v>356</v>
      </c>
      <c r="AB133" s="1">
        <v>50000000</v>
      </c>
      <c r="AD133" s="2">
        <f t="shared" si="58"/>
        <v>7422520.0000000075</v>
      </c>
    </row>
    <row r="134" spans="1:30">
      <c r="A134" t="s">
        <v>303</v>
      </c>
      <c r="B134" t="s">
        <v>10</v>
      </c>
      <c r="C134" t="str">
        <f>VLOOKUP(B134,'1. Master Data'!$C:$K,9,0)</f>
        <v>Nệm T&amp;N Foam 180 x 200 x 15 cm</v>
      </c>
      <c r="D134" t="str">
        <f>VLOOKUP(E134,'0. Mã Supplier'!$B:$C,2,0)</f>
        <v>SUVN0002</v>
      </c>
      <c r="E134" t="s">
        <v>111</v>
      </c>
      <c r="F134" t="s">
        <v>290</v>
      </c>
      <c r="G134">
        <v>30</v>
      </c>
      <c r="H134" s="1">
        <v>30</v>
      </c>
      <c r="I134" s="1">
        <f>VLOOKUP($B134,'1. Master Data'!$C:$AB,26,0)</f>
        <v>1979600</v>
      </c>
      <c r="J134" s="1">
        <f t="shared" si="59"/>
        <v>59388000</v>
      </c>
      <c r="K134" s="1">
        <f t="shared" si="60"/>
        <v>64139040.000000007</v>
      </c>
      <c r="L134" s="24">
        <v>45853</v>
      </c>
      <c r="M134" s="24">
        <v>45878</v>
      </c>
      <c r="N134" s="24">
        <v>45878</v>
      </c>
      <c r="O134" s="54">
        <f t="shared" si="50"/>
        <v>25</v>
      </c>
      <c r="P134">
        <f t="shared" si="51"/>
        <v>8</v>
      </c>
      <c r="Q134">
        <f t="shared" si="52"/>
        <v>2025</v>
      </c>
      <c r="R134" t="s">
        <v>291</v>
      </c>
      <c r="T134" s="43">
        <f t="shared" si="53"/>
        <v>45878</v>
      </c>
      <c r="U134">
        <f>VLOOKUP($E134,'0. Mã Supplier'!$B:$F,5,0)</f>
        <v>30</v>
      </c>
      <c r="V134" s="53">
        <f t="shared" si="49"/>
        <v>45908</v>
      </c>
      <c r="W134" s="56">
        <f t="shared" si="54"/>
        <v>37</v>
      </c>
      <c r="X134" s="47">
        <f t="shared" si="55"/>
        <v>9</v>
      </c>
      <c r="Y134" s="47">
        <f t="shared" si="56"/>
        <v>2025</v>
      </c>
      <c r="AA134" s="45">
        <f t="shared" ca="1" si="57"/>
        <v>356</v>
      </c>
      <c r="AB134" s="1">
        <v>15000000</v>
      </c>
      <c r="AC134" s="46">
        <v>46010</v>
      </c>
      <c r="AD134" s="2">
        <f t="shared" si="58"/>
        <v>49139040.000000007</v>
      </c>
    </row>
    <row r="135" spans="1:30">
      <c r="A135" t="s">
        <v>303</v>
      </c>
      <c r="B135" t="s">
        <v>11</v>
      </c>
      <c r="C135" t="str">
        <f>VLOOKUP(B135,'1. Master Data'!$C:$K,9,0)</f>
        <v>Nệm T&amp;N Foam 160 x 200 x 20 cm</v>
      </c>
      <c r="D135" t="str">
        <f>VLOOKUP(E135,'0. Mã Supplier'!$B:$C,2,0)</f>
        <v>SUVN0002</v>
      </c>
      <c r="E135" t="s">
        <v>111</v>
      </c>
      <c r="F135" t="s">
        <v>290</v>
      </c>
      <c r="G135">
        <v>30</v>
      </c>
      <c r="H135" s="1">
        <v>30</v>
      </c>
      <c r="I135" s="1">
        <f>VLOOKUP($B135,'1. Master Data'!$C:$AB,26,0)</f>
        <v>2265800</v>
      </c>
      <c r="J135" s="1">
        <f t="shared" si="59"/>
        <v>67974000</v>
      </c>
      <c r="K135" s="1">
        <f t="shared" si="60"/>
        <v>73411920</v>
      </c>
      <c r="L135" s="24">
        <v>45853</v>
      </c>
      <c r="M135" s="24">
        <v>45878</v>
      </c>
      <c r="N135" s="24">
        <v>45878</v>
      </c>
      <c r="O135" s="54">
        <f t="shared" si="50"/>
        <v>25</v>
      </c>
      <c r="P135">
        <f t="shared" si="51"/>
        <v>8</v>
      </c>
      <c r="Q135">
        <f t="shared" si="52"/>
        <v>2025</v>
      </c>
      <c r="R135" t="s">
        <v>291</v>
      </c>
      <c r="T135" s="43">
        <f t="shared" si="53"/>
        <v>45878</v>
      </c>
      <c r="U135">
        <f>VLOOKUP($E135,'0. Mã Supplier'!$B:$F,5,0)</f>
        <v>30</v>
      </c>
      <c r="V135" s="53">
        <f t="shared" si="49"/>
        <v>45908</v>
      </c>
      <c r="W135" s="56">
        <f t="shared" si="54"/>
        <v>37</v>
      </c>
      <c r="X135" s="47">
        <f t="shared" si="55"/>
        <v>9</v>
      </c>
      <c r="Y135" s="47">
        <f t="shared" si="56"/>
        <v>2025</v>
      </c>
      <c r="AA135" s="45">
        <f t="shared" ca="1" si="57"/>
        <v>356</v>
      </c>
      <c r="AB135" s="1">
        <v>10000000</v>
      </c>
      <c r="AC135" s="46">
        <v>46024</v>
      </c>
      <c r="AD135" s="2">
        <f t="shared" si="58"/>
        <v>63411920</v>
      </c>
    </row>
    <row r="136" spans="1:30">
      <c r="A136" t="s">
        <v>303</v>
      </c>
      <c r="B136" t="s">
        <v>12</v>
      </c>
      <c r="C136" t="str">
        <f>VLOOKUP(B136,'1. Master Data'!$C:$K,9,0)</f>
        <v>Nệm T&amp;N Foam 180 x 200 x 20 cm</v>
      </c>
      <c r="D136" t="str">
        <f>VLOOKUP(E136,'0. Mã Supplier'!$B:$C,2,0)</f>
        <v>SUVN0002</v>
      </c>
      <c r="E136" t="s">
        <v>111</v>
      </c>
      <c r="F136" t="s">
        <v>290</v>
      </c>
      <c r="G136">
        <v>20</v>
      </c>
      <c r="H136" s="1">
        <v>20</v>
      </c>
      <c r="I136" s="1">
        <f>VLOOKUP($B136,'1. Master Data'!$C:$AB,26,0)</f>
        <v>2531500</v>
      </c>
      <c r="J136" s="1">
        <f t="shared" si="59"/>
        <v>50630000</v>
      </c>
      <c r="K136" s="1">
        <f t="shared" si="60"/>
        <v>54680400</v>
      </c>
      <c r="L136" s="24">
        <v>45853</v>
      </c>
      <c r="M136" s="24">
        <v>45878</v>
      </c>
      <c r="N136" s="24">
        <v>45878</v>
      </c>
      <c r="O136" s="54">
        <f t="shared" si="50"/>
        <v>25</v>
      </c>
      <c r="P136">
        <f t="shared" si="51"/>
        <v>8</v>
      </c>
      <c r="Q136">
        <f t="shared" si="52"/>
        <v>2025</v>
      </c>
      <c r="R136" t="s">
        <v>291</v>
      </c>
      <c r="T136" s="43">
        <f t="shared" si="53"/>
        <v>45878</v>
      </c>
      <c r="U136">
        <f>VLOOKUP($E136,'0. Mã Supplier'!$B:$F,5,0)</f>
        <v>30</v>
      </c>
      <c r="V136" s="53">
        <f t="shared" si="49"/>
        <v>45908</v>
      </c>
      <c r="W136" s="56">
        <f t="shared" si="54"/>
        <v>37</v>
      </c>
      <c r="X136" s="47">
        <f t="shared" si="55"/>
        <v>9</v>
      </c>
      <c r="Y136" s="47">
        <f t="shared" si="56"/>
        <v>2025</v>
      </c>
      <c r="AA136" s="45">
        <f t="shared" ca="1" si="57"/>
        <v>356</v>
      </c>
      <c r="AB136" s="1">
        <v>10000000</v>
      </c>
      <c r="AD136" s="2">
        <f t="shared" si="58"/>
        <v>44680400</v>
      </c>
    </row>
    <row r="137" spans="1:30">
      <c r="A137" t="s">
        <v>303</v>
      </c>
      <c r="B137" t="s">
        <v>41</v>
      </c>
      <c r="C137" t="str">
        <f>VLOOKUP(B137,'1. Master Data'!$C:$K,9,0)</f>
        <v>Gối T&amp;N contour (Mềm) 30 x 50 x 8/10 cm</v>
      </c>
      <c r="D137" t="str">
        <f>VLOOKUP(E137,'0. Mã Supplier'!$B:$C,2,0)</f>
        <v>SUVN0002</v>
      </c>
      <c r="E137" t="s">
        <v>111</v>
      </c>
      <c r="F137" t="s">
        <v>290</v>
      </c>
      <c r="G137">
        <v>20</v>
      </c>
      <c r="H137" s="1">
        <v>20</v>
      </c>
      <c r="I137" s="1">
        <f>VLOOKUP($B137,'1. Master Data'!$C:$AB,26,0)</f>
        <v>139000</v>
      </c>
      <c r="J137" s="1">
        <f t="shared" si="59"/>
        <v>2780000</v>
      </c>
      <c r="K137" s="1">
        <f t="shared" si="60"/>
        <v>3002400</v>
      </c>
      <c r="L137" s="24">
        <v>45853</v>
      </c>
      <c r="M137" s="24">
        <v>45878</v>
      </c>
      <c r="N137" s="24">
        <v>45878</v>
      </c>
      <c r="O137" s="54">
        <f t="shared" si="50"/>
        <v>25</v>
      </c>
      <c r="P137">
        <f t="shared" si="51"/>
        <v>8</v>
      </c>
      <c r="Q137">
        <f t="shared" si="52"/>
        <v>2025</v>
      </c>
      <c r="R137" t="s">
        <v>291</v>
      </c>
      <c r="T137" s="43">
        <f t="shared" si="53"/>
        <v>45878</v>
      </c>
      <c r="U137">
        <f>VLOOKUP($E137,'0. Mã Supplier'!$B:$F,5,0)</f>
        <v>30</v>
      </c>
      <c r="V137" s="53">
        <f t="shared" si="49"/>
        <v>45908</v>
      </c>
      <c r="W137" s="56">
        <f t="shared" si="54"/>
        <v>37</v>
      </c>
      <c r="X137" s="47">
        <f t="shared" si="55"/>
        <v>9</v>
      </c>
      <c r="Y137" s="47">
        <f t="shared" si="56"/>
        <v>2025</v>
      </c>
      <c r="AA137" s="45">
        <f t="shared" ca="1" si="57"/>
        <v>356</v>
      </c>
      <c r="AB137" s="1" t="b">
        <f t="shared" ref="AB137:AB168" si="61">IF(Z137="Yes",K137)</f>
        <v>0</v>
      </c>
      <c r="AD137" s="2">
        <f t="shared" si="58"/>
        <v>3002400</v>
      </c>
    </row>
    <row r="138" spans="1:30">
      <c r="A138" t="s">
        <v>303</v>
      </c>
      <c r="B138" t="s">
        <v>42</v>
      </c>
      <c r="C138" t="str">
        <f>VLOOKUP(B138,'1. Master Data'!$C:$K,9,0)</f>
        <v>Gối T&amp;N contour (Mềm) 40 x 60 x 10/12 cm</v>
      </c>
      <c r="D138" t="str">
        <f>VLOOKUP(E138,'0. Mã Supplier'!$B:$C,2,0)</f>
        <v>SUVN0002</v>
      </c>
      <c r="E138" t="s">
        <v>111</v>
      </c>
      <c r="F138" t="s">
        <v>290</v>
      </c>
      <c r="G138">
        <v>20</v>
      </c>
      <c r="H138" s="1">
        <v>20</v>
      </c>
      <c r="I138" s="1">
        <f>VLOOKUP($B138,'1. Master Data'!$C:$AB,26,0)</f>
        <v>181000</v>
      </c>
      <c r="J138" s="1">
        <f>I138*H138</f>
        <v>3620000</v>
      </c>
      <c r="K138" s="1">
        <f>J138*1.08</f>
        <v>3909600.0000000005</v>
      </c>
      <c r="L138" s="24">
        <v>45853</v>
      </c>
      <c r="M138" s="24">
        <v>45878</v>
      </c>
      <c r="N138" s="24">
        <v>45878</v>
      </c>
      <c r="O138" s="54">
        <f t="shared" si="50"/>
        <v>25</v>
      </c>
      <c r="P138">
        <f>MONTH(N138)</f>
        <v>8</v>
      </c>
      <c r="Q138">
        <f>YEAR(N138)</f>
        <v>2025</v>
      </c>
      <c r="R138" t="s">
        <v>291</v>
      </c>
      <c r="T138" s="43">
        <f t="shared" si="53"/>
        <v>45878</v>
      </c>
      <c r="U138">
        <f>VLOOKUP($E138,'0. Mã Supplier'!$B:$F,5,0)</f>
        <v>30</v>
      </c>
      <c r="V138" s="53">
        <f t="shared" si="49"/>
        <v>45908</v>
      </c>
      <c r="W138" s="56">
        <f t="shared" si="54"/>
        <v>37</v>
      </c>
      <c r="X138" s="47">
        <f>IF(V138&lt;&gt;0,MONTH(V138),"")</f>
        <v>9</v>
      </c>
      <c r="Y138" s="47">
        <f t="shared" si="56"/>
        <v>2025</v>
      </c>
      <c r="AA138" s="45">
        <f t="shared" ca="1" si="57"/>
        <v>356</v>
      </c>
      <c r="AB138" s="1" t="b">
        <f>IF(Z138="Yes",K138)</f>
        <v>0</v>
      </c>
      <c r="AD138" s="2">
        <f t="shared" si="58"/>
        <v>3909600.0000000005</v>
      </c>
    </row>
    <row r="139" spans="1:30">
      <c r="A139" t="s">
        <v>303</v>
      </c>
      <c r="B139" t="s">
        <v>39</v>
      </c>
      <c r="C139" t="str">
        <f>VLOOKUP(B139,'1. Master Data'!$C:$K,9,0)</f>
        <v>Gối T&amp;N contour (Cứng) 30 x 50 x 8/10 cm</v>
      </c>
      <c r="D139" t="str">
        <f>VLOOKUP(E139,'0. Mã Supplier'!$B:$C,2,0)</f>
        <v>SUVN0002</v>
      </c>
      <c r="E139" t="s">
        <v>111</v>
      </c>
      <c r="F139" t="s">
        <v>290</v>
      </c>
      <c r="G139">
        <v>20</v>
      </c>
      <c r="H139" s="1">
        <v>20</v>
      </c>
      <c r="I139" s="1">
        <f>VLOOKUP($B139,'1. Master Data'!$C:$AB,26,0)</f>
        <v>116100</v>
      </c>
      <c r="J139" s="1">
        <f t="shared" ref="J139" si="62">I139*H139</f>
        <v>2322000</v>
      </c>
      <c r="K139" s="1">
        <f t="shared" ref="K139" si="63">J139*1.08</f>
        <v>2507760</v>
      </c>
      <c r="L139" s="24">
        <v>45853</v>
      </c>
      <c r="M139" s="24">
        <v>45878</v>
      </c>
      <c r="N139" s="24">
        <v>45878</v>
      </c>
      <c r="O139" s="54">
        <f t="shared" si="50"/>
        <v>25</v>
      </c>
      <c r="P139">
        <f t="shared" ref="P139" si="64">MONTH(N139)</f>
        <v>8</v>
      </c>
      <c r="Q139">
        <f t="shared" ref="Q139" si="65">YEAR(N139)</f>
        <v>2025</v>
      </c>
      <c r="R139" t="s">
        <v>291</v>
      </c>
      <c r="T139" s="43">
        <f t="shared" si="53"/>
        <v>45878</v>
      </c>
      <c r="U139">
        <f>VLOOKUP($E139,'0. Mã Supplier'!$B:$F,5,0)</f>
        <v>30</v>
      </c>
      <c r="V139" s="53">
        <f t="shared" si="49"/>
        <v>45908</v>
      </c>
      <c r="W139" s="56">
        <f t="shared" si="54"/>
        <v>37</v>
      </c>
      <c r="X139" s="47">
        <f t="shared" ref="X139" si="66">IF(V139&lt;&gt;0,MONTH(V139),"")</f>
        <v>9</v>
      </c>
      <c r="Y139" s="47">
        <f t="shared" si="56"/>
        <v>2025</v>
      </c>
      <c r="AA139" s="45">
        <f t="shared" ca="1" si="57"/>
        <v>356</v>
      </c>
      <c r="AB139" s="1" t="b">
        <f t="shared" ref="AB139:AB140" si="67">IF(Z139="Yes",K139)</f>
        <v>0</v>
      </c>
      <c r="AD139" s="2">
        <f t="shared" si="58"/>
        <v>2507760</v>
      </c>
    </row>
    <row r="140" spans="1:30">
      <c r="A140" t="s">
        <v>304</v>
      </c>
      <c r="B140" t="s">
        <v>14</v>
      </c>
      <c r="C140" t="str">
        <f>VLOOKUP(B140,'1. Master Data'!$C:$K,9,0)</f>
        <v>Nệm Hybrid 160 x 200 x 25 cm</v>
      </c>
      <c r="D140" t="str">
        <f>VLOOKUP(E140,'0. Mã Supplier'!$B:$C,2,0)</f>
        <v>SUVN0003</v>
      </c>
      <c r="E140" t="s">
        <v>114</v>
      </c>
      <c r="F140" t="s">
        <v>290</v>
      </c>
      <c r="G140">
        <v>10</v>
      </c>
      <c r="H140" s="1">
        <v>10</v>
      </c>
      <c r="I140" s="1">
        <f>VLOOKUP($B140,'1. Master Data'!$C:$AB,26,0)</f>
        <v>2229010</v>
      </c>
      <c r="J140" s="1">
        <f t="shared" ref="J140:J183" si="68">I140*H140</f>
        <v>22290100</v>
      </c>
      <c r="K140" s="1">
        <f t="shared" si="60"/>
        <v>24073308</v>
      </c>
      <c r="L140" s="24">
        <v>45819</v>
      </c>
      <c r="N140" s="24">
        <f t="shared" ref="N140" si="69">L140+20</f>
        <v>45839</v>
      </c>
      <c r="O140" s="54">
        <f t="shared" si="50"/>
        <v>20</v>
      </c>
      <c r="P140">
        <f t="shared" si="51"/>
        <v>7</v>
      </c>
      <c r="Q140">
        <f t="shared" si="52"/>
        <v>2025</v>
      </c>
      <c r="R140" t="s">
        <v>291</v>
      </c>
      <c r="T140" s="43">
        <v>45847</v>
      </c>
      <c r="U140">
        <f>VLOOKUP($E140,'0. Mã Supplier'!$B:$F,5,0)</f>
        <v>60</v>
      </c>
      <c r="V140" s="53">
        <f t="shared" si="49"/>
        <v>45907</v>
      </c>
      <c r="W140" s="56">
        <f t="shared" si="54"/>
        <v>37</v>
      </c>
      <c r="X140" s="47">
        <f t="shared" si="55"/>
        <v>9</v>
      </c>
      <c r="Y140" s="47">
        <f t="shared" si="56"/>
        <v>2025</v>
      </c>
      <c r="AA140" s="45">
        <f t="shared" ca="1" si="57"/>
        <v>357</v>
      </c>
      <c r="AB140" s="1" t="b">
        <f t="shared" si="67"/>
        <v>0</v>
      </c>
      <c r="AD140" s="2">
        <f t="shared" si="58"/>
        <v>24073308</v>
      </c>
    </row>
    <row r="141" spans="1:30">
      <c r="A141" t="s">
        <v>304</v>
      </c>
      <c r="B141" t="s">
        <v>15</v>
      </c>
      <c r="C141" t="str">
        <f>VLOOKUP(B141,'1. Master Data'!$C:$K,9,0)</f>
        <v>Nệm Hybrid 180 x 200 x 25 cm</v>
      </c>
      <c r="D141" t="str">
        <f>VLOOKUP(E141,'0. Mã Supplier'!$B:$C,2,0)</f>
        <v>SUVN0003</v>
      </c>
      <c r="E141" t="s">
        <v>114</v>
      </c>
      <c r="F141" t="s">
        <v>290</v>
      </c>
      <c r="G141">
        <v>10</v>
      </c>
      <c r="H141" s="1">
        <v>10</v>
      </c>
      <c r="I141" s="1">
        <f>VLOOKUP($B141,'1. Master Data'!$C:$AB,26,0)</f>
        <v>2425010</v>
      </c>
      <c r="J141" s="1">
        <f t="shared" si="68"/>
        <v>24250100</v>
      </c>
      <c r="K141" s="1">
        <f t="shared" si="60"/>
        <v>26190108</v>
      </c>
      <c r="L141" s="24">
        <v>45819</v>
      </c>
      <c r="N141" s="24">
        <f t="shared" ref="N141:N143" si="70">L141+20</f>
        <v>45839</v>
      </c>
      <c r="O141" s="54">
        <f t="shared" si="50"/>
        <v>20</v>
      </c>
      <c r="P141">
        <f t="shared" ref="P141:P148" si="71">MONTH(N141)</f>
        <v>7</v>
      </c>
      <c r="Q141">
        <f t="shared" ref="Q141:Q148" si="72">YEAR(N141)</f>
        <v>2025</v>
      </c>
      <c r="R141" t="s">
        <v>291</v>
      </c>
      <c r="T141" s="43">
        <v>45847</v>
      </c>
      <c r="U141">
        <f>VLOOKUP($E141,'0. Mã Supplier'!$B:$F,5,0)</f>
        <v>60</v>
      </c>
      <c r="V141" s="53">
        <f t="shared" si="49"/>
        <v>45907</v>
      </c>
      <c r="W141" s="56">
        <f t="shared" si="54"/>
        <v>37</v>
      </c>
      <c r="X141" s="47">
        <f t="shared" si="55"/>
        <v>9</v>
      </c>
      <c r="Y141" s="47">
        <f t="shared" si="56"/>
        <v>2025</v>
      </c>
      <c r="AA141" s="45">
        <f t="shared" ca="1" si="57"/>
        <v>357</v>
      </c>
      <c r="AB141" s="1">
        <v>50000000</v>
      </c>
      <c r="AD141" s="2">
        <f t="shared" si="58"/>
        <v>-23809892</v>
      </c>
    </row>
    <row r="142" spans="1:30">
      <c r="A142" t="s">
        <v>304</v>
      </c>
      <c r="B142" t="s">
        <v>17</v>
      </c>
      <c r="C142" t="str">
        <f>VLOOKUP(B142,'1. Master Data'!$C:$K,9,0)</f>
        <v>Nệm Hybrid Latex 160 x 200 x 27 cm</v>
      </c>
      <c r="D142" t="str">
        <f>VLOOKUP(E142,'0. Mã Supplier'!$B:$C,2,0)</f>
        <v>SUVN0003</v>
      </c>
      <c r="E142" t="s">
        <v>114</v>
      </c>
      <c r="F142" t="s">
        <v>290</v>
      </c>
      <c r="G142">
        <v>10</v>
      </c>
      <c r="H142" s="1">
        <v>10</v>
      </c>
      <c r="I142" s="1">
        <f>VLOOKUP($B142,'1. Master Data'!$C:$AB,26,0)</f>
        <v>2572010</v>
      </c>
      <c r="J142" s="1">
        <f t="shared" si="68"/>
        <v>25720100</v>
      </c>
      <c r="K142" s="1">
        <f t="shared" si="60"/>
        <v>27777708</v>
      </c>
      <c r="L142" s="24">
        <v>45819</v>
      </c>
      <c r="N142" s="24">
        <f t="shared" si="70"/>
        <v>45839</v>
      </c>
      <c r="O142" s="54">
        <f t="shared" si="50"/>
        <v>20</v>
      </c>
      <c r="P142">
        <f t="shared" si="71"/>
        <v>7</v>
      </c>
      <c r="Q142">
        <f t="shared" si="72"/>
        <v>2025</v>
      </c>
      <c r="R142" t="s">
        <v>291</v>
      </c>
      <c r="T142" s="43">
        <v>45847</v>
      </c>
      <c r="U142">
        <f>VLOOKUP($E142,'0. Mã Supplier'!$B:$F,5,0)</f>
        <v>60</v>
      </c>
      <c r="V142" s="53">
        <f t="shared" si="49"/>
        <v>45907</v>
      </c>
      <c r="W142" s="56">
        <f t="shared" si="54"/>
        <v>37</v>
      </c>
      <c r="X142" s="47">
        <f t="shared" si="55"/>
        <v>9</v>
      </c>
      <c r="Y142" s="47">
        <f t="shared" si="56"/>
        <v>2025</v>
      </c>
      <c r="AA142" s="45">
        <f t="shared" ca="1" si="57"/>
        <v>357</v>
      </c>
      <c r="AB142" s="1">
        <v>30000000</v>
      </c>
      <c r="AD142" s="2">
        <f t="shared" si="58"/>
        <v>-2222292</v>
      </c>
    </row>
    <row r="143" spans="1:30">
      <c r="A143" t="s">
        <v>304</v>
      </c>
      <c r="B143" t="s">
        <v>18</v>
      </c>
      <c r="C143" t="str">
        <f>VLOOKUP(B143,'1. Master Data'!$C:$K,9,0)</f>
        <v>Nệm Hybrid Latex 180 x 200 x 27 cm</v>
      </c>
      <c r="D143" t="str">
        <f>VLOOKUP(E143,'0. Mã Supplier'!$B:$C,2,0)</f>
        <v>SUVN0003</v>
      </c>
      <c r="E143" t="s">
        <v>114</v>
      </c>
      <c r="F143" t="s">
        <v>290</v>
      </c>
      <c r="G143">
        <v>10</v>
      </c>
      <c r="H143" s="1">
        <v>10</v>
      </c>
      <c r="I143" s="1">
        <f>VLOOKUP($B143,'1. Master Data'!$C:$AB,26,0)</f>
        <v>2866010</v>
      </c>
      <c r="J143" s="1">
        <f t="shared" si="68"/>
        <v>28660100</v>
      </c>
      <c r="K143" s="1">
        <f t="shared" si="60"/>
        <v>30952908.000000004</v>
      </c>
      <c r="L143" s="24">
        <v>45819</v>
      </c>
      <c r="N143" s="24">
        <f t="shared" si="70"/>
        <v>45839</v>
      </c>
      <c r="O143" s="54">
        <f t="shared" si="50"/>
        <v>20</v>
      </c>
      <c r="P143">
        <f t="shared" si="71"/>
        <v>7</v>
      </c>
      <c r="Q143">
        <f t="shared" si="72"/>
        <v>2025</v>
      </c>
      <c r="R143" t="s">
        <v>291</v>
      </c>
      <c r="T143" s="43">
        <v>45847</v>
      </c>
      <c r="U143">
        <f>VLOOKUP($E143,'0. Mã Supplier'!$B:$F,5,0)</f>
        <v>60</v>
      </c>
      <c r="V143" s="53">
        <f t="shared" si="49"/>
        <v>45907</v>
      </c>
      <c r="W143" s="56">
        <f t="shared" si="54"/>
        <v>37</v>
      </c>
      <c r="X143" s="47">
        <f t="shared" si="55"/>
        <v>9</v>
      </c>
      <c r="Y143" s="47">
        <f t="shared" si="56"/>
        <v>2025</v>
      </c>
      <c r="AA143" s="45">
        <f t="shared" ca="1" si="57"/>
        <v>357</v>
      </c>
      <c r="AB143" s="1">
        <v>28994032.000000004</v>
      </c>
      <c r="AD143" s="2">
        <f t="shared" si="58"/>
        <v>1958876</v>
      </c>
    </row>
    <row r="144" spans="1:30">
      <c r="A144" t="s">
        <v>305</v>
      </c>
      <c r="B144" t="s">
        <v>14</v>
      </c>
      <c r="C144" t="str">
        <f>VLOOKUP(B144,'1. Master Data'!$C:$K,9,0)</f>
        <v>Nệm Hybrid 160 x 200 x 25 cm</v>
      </c>
      <c r="D144" t="str">
        <f>VLOOKUP(E144,'0. Mã Supplier'!$B:$C,2,0)</f>
        <v>SUVN0003</v>
      </c>
      <c r="E144" t="s">
        <v>114</v>
      </c>
      <c r="F144" t="s">
        <v>290</v>
      </c>
      <c r="G144">
        <v>5</v>
      </c>
      <c r="H144" s="1">
        <v>5</v>
      </c>
      <c r="I144" s="1">
        <f>VLOOKUP($B144,'1. Master Data'!$C:$AB,26,0)</f>
        <v>2229010</v>
      </c>
      <c r="J144" s="1">
        <f t="shared" ref="J144:J147" si="73">I144*H144</f>
        <v>11145050</v>
      </c>
      <c r="K144" s="1">
        <f t="shared" ref="K144:K147" si="74">J144*1.08</f>
        <v>12036654</v>
      </c>
      <c r="L144" s="24">
        <v>45860</v>
      </c>
      <c r="N144" s="24">
        <v>45906</v>
      </c>
      <c r="O144" s="54">
        <f t="shared" ref="O144:O147" si="75">N144-L144</f>
        <v>46</v>
      </c>
      <c r="P144">
        <f t="shared" ref="P144:P147" si="76">MONTH(N144)</f>
        <v>9</v>
      </c>
      <c r="Q144">
        <f t="shared" ref="Q144:Q147" si="77">YEAR(N144)</f>
        <v>2025</v>
      </c>
      <c r="R144" t="s">
        <v>291</v>
      </c>
      <c r="T144" s="43">
        <f t="shared" ref="T144:T147" si="78">N144</f>
        <v>45906</v>
      </c>
      <c r="U144">
        <f>VLOOKUP($E144,'0. Mã Supplier'!$B:$F,5,0)</f>
        <v>60</v>
      </c>
      <c r="V144" s="53">
        <f t="shared" ref="V144:V147" si="79">T144+U144</f>
        <v>45966</v>
      </c>
      <c r="W144" s="56">
        <f t="shared" ref="W144:W147" si="80">WEEKNUM(V144)</f>
        <v>45</v>
      </c>
      <c r="X144" s="47">
        <f t="shared" ref="X144:X147" si="81">IF(V144&lt;&gt;0,MONTH(V144),"")</f>
        <v>11</v>
      </c>
      <c r="Y144" s="47">
        <f t="shared" ref="Y144:Y147" si="82">YEAR(V144)</f>
        <v>2025</v>
      </c>
      <c r="AA144" s="45">
        <f t="shared" ref="AA144:AA147" ca="1" si="83">IF(Z144="yes",0,TODAY()-V144)</f>
        <v>298</v>
      </c>
      <c r="AB144" s="1">
        <v>15000000</v>
      </c>
      <c r="AD144" s="2">
        <f t="shared" si="58"/>
        <v>-2963346</v>
      </c>
    </row>
    <row r="145" spans="1:30">
      <c r="A145" t="s">
        <v>305</v>
      </c>
      <c r="B145" t="s">
        <v>15</v>
      </c>
      <c r="C145" t="str">
        <f>VLOOKUP(B145,'1. Master Data'!$C:$K,9,0)</f>
        <v>Nệm Hybrid 180 x 200 x 25 cm</v>
      </c>
      <c r="D145" t="str">
        <f>VLOOKUP(E145,'0. Mã Supplier'!$B:$C,2,0)</f>
        <v>SUVN0003</v>
      </c>
      <c r="E145" t="s">
        <v>114</v>
      </c>
      <c r="F145" t="s">
        <v>290</v>
      </c>
      <c r="G145">
        <v>5</v>
      </c>
      <c r="H145" s="1">
        <v>5</v>
      </c>
      <c r="I145" s="1">
        <f>VLOOKUP($B145,'1. Master Data'!$C:$AB,26,0)</f>
        <v>2425010</v>
      </c>
      <c r="J145" s="1">
        <f t="shared" si="73"/>
        <v>12125050</v>
      </c>
      <c r="K145" s="1">
        <f t="shared" si="74"/>
        <v>13095054</v>
      </c>
      <c r="L145" s="24">
        <v>45860</v>
      </c>
      <c r="N145" s="24">
        <v>45906</v>
      </c>
      <c r="O145" s="54">
        <f t="shared" si="75"/>
        <v>46</v>
      </c>
      <c r="P145">
        <f t="shared" si="76"/>
        <v>9</v>
      </c>
      <c r="Q145">
        <f t="shared" si="77"/>
        <v>2025</v>
      </c>
      <c r="R145" t="s">
        <v>291</v>
      </c>
      <c r="T145" s="43">
        <f t="shared" si="78"/>
        <v>45906</v>
      </c>
      <c r="U145">
        <f>VLOOKUP($E145,'0. Mã Supplier'!$B:$F,5,0)</f>
        <v>60</v>
      </c>
      <c r="V145" s="53">
        <f t="shared" si="79"/>
        <v>45966</v>
      </c>
      <c r="W145" s="56">
        <f t="shared" si="80"/>
        <v>45</v>
      </c>
      <c r="X145" s="47">
        <f t="shared" si="81"/>
        <v>11</v>
      </c>
      <c r="Y145" s="47">
        <f t="shared" si="82"/>
        <v>2025</v>
      </c>
      <c r="AA145" s="45">
        <f t="shared" ca="1" si="83"/>
        <v>298</v>
      </c>
      <c r="AB145" s="1">
        <v>20000000</v>
      </c>
      <c r="AD145" s="2">
        <f t="shared" si="58"/>
        <v>-6904946</v>
      </c>
    </row>
    <row r="146" spans="1:30">
      <c r="A146" t="s">
        <v>305</v>
      </c>
      <c r="B146" t="s">
        <v>17</v>
      </c>
      <c r="C146" t="str">
        <f>VLOOKUP(B146,'1. Master Data'!$C:$K,9,0)</f>
        <v>Nệm Hybrid Latex 160 x 200 x 27 cm</v>
      </c>
      <c r="D146" t="str">
        <f>VLOOKUP(E146,'0. Mã Supplier'!$B:$C,2,0)</f>
        <v>SUVN0003</v>
      </c>
      <c r="E146" t="s">
        <v>114</v>
      </c>
      <c r="F146" t="s">
        <v>290</v>
      </c>
      <c r="G146">
        <v>5</v>
      </c>
      <c r="H146" s="1">
        <v>4</v>
      </c>
      <c r="I146" s="1">
        <f>VLOOKUP($B146,'1. Master Data'!$C:$AB,26,0)</f>
        <v>2572010</v>
      </c>
      <c r="J146" s="1">
        <f t="shared" si="73"/>
        <v>10288040</v>
      </c>
      <c r="K146" s="1">
        <f t="shared" si="74"/>
        <v>11111083.200000001</v>
      </c>
      <c r="L146" s="24">
        <v>45860</v>
      </c>
      <c r="N146" s="24">
        <v>45906</v>
      </c>
      <c r="O146" s="54">
        <f t="shared" si="75"/>
        <v>46</v>
      </c>
      <c r="P146">
        <f t="shared" si="76"/>
        <v>9</v>
      </c>
      <c r="Q146">
        <f t="shared" si="77"/>
        <v>2025</v>
      </c>
      <c r="R146" t="s">
        <v>291</v>
      </c>
      <c r="T146" s="43">
        <f t="shared" si="78"/>
        <v>45906</v>
      </c>
      <c r="U146">
        <f>VLOOKUP($E146,'0. Mã Supplier'!$B:$F,5,0)</f>
        <v>60</v>
      </c>
      <c r="V146" s="53">
        <f t="shared" si="79"/>
        <v>45966</v>
      </c>
      <c r="W146" s="56">
        <f t="shared" si="80"/>
        <v>45</v>
      </c>
      <c r="X146" s="47">
        <f t="shared" si="81"/>
        <v>11</v>
      </c>
      <c r="Y146" s="47">
        <f t="shared" si="82"/>
        <v>2025</v>
      </c>
      <c r="AA146" s="45">
        <f t="shared" ca="1" si="83"/>
        <v>298</v>
      </c>
      <c r="AB146" s="1">
        <v>20000000</v>
      </c>
      <c r="AD146" s="2">
        <f t="shared" si="58"/>
        <v>-8888916.7999999989</v>
      </c>
    </row>
    <row r="147" spans="1:30">
      <c r="A147" t="s">
        <v>305</v>
      </c>
      <c r="B147" t="s">
        <v>18</v>
      </c>
      <c r="C147" t="str">
        <f>VLOOKUP(B147,'1. Master Data'!$C:$K,9,0)</f>
        <v>Nệm Hybrid Latex 180 x 200 x 27 cm</v>
      </c>
      <c r="D147" t="str">
        <f>VLOOKUP(E147,'0. Mã Supplier'!$B:$C,2,0)</f>
        <v>SUVN0003</v>
      </c>
      <c r="E147" t="s">
        <v>114</v>
      </c>
      <c r="F147" t="s">
        <v>290</v>
      </c>
      <c r="G147">
        <v>5</v>
      </c>
      <c r="H147" s="1">
        <v>5</v>
      </c>
      <c r="I147" s="1">
        <f>VLOOKUP($B147,'1. Master Data'!$C:$AB,26,0)</f>
        <v>2866010</v>
      </c>
      <c r="J147" s="1">
        <f t="shared" si="73"/>
        <v>14330050</v>
      </c>
      <c r="K147" s="1">
        <f t="shared" si="74"/>
        <v>15476454.000000002</v>
      </c>
      <c r="L147" s="24">
        <v>45860</v>
      </c>
      <c r="N147" s="24">
        <v>45906</v>
      </c>
      <c r="O147" s="54">
        <f t="shared" si="75"/>
        <v>46</v>
      </c>
      <c r="P147">
        <f t="shared" si="76"/>
        <v>9</v>
      </c>
      <c r="Q147">
        <f t="shared" si="77"/>
        <v>2025</v>
      </c>
      <c r="R147" t="s">
        <v>291</v>
      </c>
      <c r="T147" s="43">
        <f t="shared" si="78"/>
        <v>45906</v>
      </c>
      <c r="U147">
        <f>VLOOKUP($E147,'0. Mã Supplier'!$B:$F,5,0)</f>
        <v>60</v>
      </c>
      <c r="V147" s="53">
        <f t="shared" si="79"/>
        <v>45966</v>
      </c>
      <c r="W147" s="56">
        <f t="shared" si="80"/>
        <v>45</v>
      </c>
      <c r="X147" s="47">
        <f t="shared" si="81"/>
        <v>11</v>
      </c>
      <c r="Y147" s="47">
        <f t="shared" si="82"/>
        <v>2025</v>
      </c>
      <c r="AA147" s="45">
        <f t="shared" ca="1" si="83"/>
        <v>298</v>
      </c>
      <c r="AB147" s="1">
        <v>20000000</v>
      </c>
      <c r="AD147" s="2">
        <f t="shared" si="58"/>
        <v>-4523545.9999999981</v>
      </c>
    </row>
    <row r="148" spans="1:30">
      <c r="A148" t="s">
        <v>306</v>
      </c>
      <c r="B148" t="s">
        <v>13</v>
      </c>
      <c r="C148" t="str">
        <f>VLOOKUP(B148,'1. Master Data'!$C:$K,9,0)</f>
        <v>Nệm Hybrid 120 x 200 x 25 cm</v>
      </c>
      <c r="D148" t="str">
        <f>VLOOKUP(E148,'0. Mã Supplier'!$B:$C,2,0)</f>
        <v>SUVN0003</v>
      </c>
      <c r="E148" t="s">
        <v>114</v>
      </c>
      <c r="F148" t="s">
        <v>290</v>
      </c>
      <c r="G148">
        <v>5</v>
      </c>
      <c r="H148" s="1">
        <v>5</v>
      </c>
      <c r="I148" s="1">
        <f>VLOOKUP($B148,'1. Master Data'!$C:$AB,26,0)</f>
        <v>1641010</v>
      </c>
      <c r="J148" s="1">
        <f t="shared" si="68"/>
        <v>8205050</v>
      </c>
      <c r="K148" s="1">
        <f t="shared" si="60"/>
        <v>8861454</v>
      </c>
      <c r="L148" s="24">
        <v>45860</v>
      </c>
      <c r="N148" s="24">
        <v>45923</v>
      </c>
      <c r="O148" s="54">
        <f t="shared" si="50"/>
        <v>63</v>
      </c>
      <c r="P148">
        <f t="shared" si="71"/>
        <v>9</v>
      </c>
      <c r="Q148">
        <f t="shared" si="72"/>
        <v>2025</v>
      </c>
      <c r="R148" t="s">
        <v>291</v>
      </c>
      <c r="T148" s="43">
        <f>N148</f>
        <v>45923</v>
      </c>
      <c r="U148">
        <f>VLOOKUP($E148,'0. Mã Supplier'!$B:$F,5,0)</f>
        <v>60</v>
      </c>
      <c r="V148" s="53">
        <f t="shared" si="49"/>
        <v>45983</v>
      </c>
      <c r="W148" s="56">
        <f t="shared" si="54"/>
        <v>47</v>
      </c>
      <c r="X148" s="47">
        <f t="shared" si="55"/>
        <v>11</v>
      </c>
      <c r="Y148" s="47">
        <f t="shared" si="56"/>
        <v>2025</v>
      </c>
      <c r="AA148" s="45">
        <f t="shared" ca="1" si="57"/>
        <v>281</v>
      </c>
      <c r="AB148" s="1">
        <v>15000000</v>
      </c>
      <c r="AC148" s="46">
        <v>46024</v>
      </c>
      <c r="AD148" s="2">
        <f t="shared" si="58"/>
        <v>-6138546</v>
      </c>
    </row>
    <row r="149" spans="1:30">
      <c r="A149" t="s">
        <v>306</v>
      </c>
      <c r="B149" t="s">
        <v>14</v>
      </c>
      <c r="C149" t="str">
        <f>VLOOKUP(B149,'1. Master Data'!$C:$K,9,0)</f>
        <v>Nệm Hybrid 160 x 200 x 25 cm</v>
      </c>
      <c r="D149" t="str">
        <f>VLOOKUP(E149,'0. Mã Supplier'!$B:$C,2,0)</f>
        <v>SUVN0003</v>
      </c>
      <c r="E149" t="s">
        <v>114</v>
      </c>
      <c r="F149" t="s">
        <v>290</v>
      </c>
      <c r="G149">
        <v>30</v>
      </c>
      <c r="H149" s="1">
        <v>30</v>
      </c>
      <c r="I149" s="1">
        <f>VLOOKUP($B149,'1. Master Data'!$C:$AB,26,0)</f>
        <v>2229010</v>
      </c>
      <c r="J149" s="1">
        <f>I149*H149</f>
        <v>66870300</v>
      </c>
      <c r="K149" s="1">
        <f t="shared" si="60"/>
        <v>72219924</v>
      </c>
      <c r="L149" s="24">
        <v>45860</v>
      </c>
      <c r="N149" s="24">
        <v>45923</v>
      </c>
      <c r="O149" s="54">
        <f t="shared" si="50"/>
        <v>63</v>
      </c>
      <c r="P149">
        <f t="shared" ref="P149:P157" si="84">MONTH(N149)</f>
        <v>9</v>
      </c>
      <c r="Q149">
        <f t="shared" ref="Q149:Q157" si="85">YEAR(N149)</f>
        <v>2025</v>
      </c>
      <c r="R149" t="s">
        <v>291</v>
      </c>
      <c r="T149" s="43">
        <f t="shared" ref="T149:T153" si="86">N149</f>
        <v>45923</v>
      </c>
      <c r="U149">
        <f>VLOOKUP($E149,'0. Mã Supplier'!$B:$F,5,0)</f>
        <v>60</v>
      </c>
      <c r="V149" s="53">
        <f t="shared" si="49"/>
        <v>45983</v>
      </c>
      <c r="W149" s="56">
        <f t="shared" si="54"/>
        <v>47</v>
      </c>
      <c r="X149" s="47">
        <f t="shared" si="55"/>
        <v>11</v>
      </c>
      <c r="Y149" s="47">
        <f t="shared" si="56"/>
        <v>2025</v>
      </c>
      <c r="AA149" s="45">
        <f t="shared" ca="1" si="57"/>
        <v>281</v>
      </c>
      <c r="AB149" s="1">
        <v>15000000</v>
      </c>
      <c r="AD149" s="2">
        <f t="shared" si="58"/>
        <v>57219924</v>
      </c>
    </row>
    <row r="150" spans="1:30">
      <c r="A150" t="s">
        <v>306</v>
      </c>
      <c r="B150" t="s">
        <v>15</v>
      </c>
      <c r="C150" t="str">
        <f>VLOOKUP(B150,'1. Master Data'!$C:$K,9,0)</f>
        <v>Nệm Hybrid 180 x 200 x 25 cm</v>
      </c>
      <c r="D150" t="str">
        <f>VLOOKUP(E150,'0. Mã Supplier'!$B:$C,2,0)</f>
        <v>SUVN0003</v>
      </c>
      <c r="E150" t="s">
        <v>114</v>
      </c>
      <c r="F150" t="s">
        <v>290</v>
      </c>
      <c r="G150">
        <v>10</v>
      </c>
      <c r="H150" s="1">
        <v>10</v>
      </c>
      <c r="I150" s="1">
        <f>VLOOKUP($B150,'1. Master Data'!$C:$AB,26,0)</f>
        <v>2425010</v>
      </c>
      <c r="J150" s="1">
        <f t="shared" si="68"/>
        <v>24250100</v>
      </c>
      <c r="K150" s="1">
        <f t="shared" si="60"/>
        <v>26190108</v>
      </c>
      <c r="L150" s="24">
        <v>45860</v>
      </c>
      <c r="N150" s="24">
        <v>45923</v>
      </c>
      <c r="O150" s="54">
        <f t="shared" si="50"/>
        <v>63</v>
      </c>
      <c r="P150">
        <f t="shared" si="84"/>
        <v>9</v>
      </c>
      <c r="Q150">
        <f t="shared" si="85"/>
        <v>2025</v>
      </c>
      <c r="R150" t="s">
        <v>291</v>
      </c>
      <c r="T150" s="43">
        <f t="shared" si="86"/>
        <v>45923</v>
      </c>
      <c r="U150">
        <f>VLOOKUP($E150,'0. Mã Supplier'!$B:$F,5,0)</f>
        <v>60</v>
      </c>
      <c r="V150" s="53">
        <f t="shared" si="49"/>
        <v>45983</v>
      </c>
      <c r="W150" s="56">
        <f t="shared" si="54"/>
        <v>47</v>
      </c>
      <c r="X150" s="47">
        <f t="shared" si="55"/>
        <v>11</v>
      </c>
      <c r="Y150" s="47">
        <f t="shared" si="56"/>
        <v>2025</v>
      </c>
      <c r="AA150" s="45">
        <f t="shared" ca="1" si="57"/>
        <v>281</v>
      </c>
      <c r="AB150" s="1" t="b">
        <f t="shared" si="61"/>
        <v>0</v>
      </c>
      <c r="AD150" s="2">
        <f t="shared" si="58"/>
        <v>26190108</v>
      </c>
    </row>
    <row r="151" spans="1:30">
      <c r="A151" t="s">
        <v>306</v>
      </c>
      <c r="B151" t="s">
        <v>16</v>
      </c>
      <c r="C151" t="str">
        <f>VLOOKUP(B151,'1. Master Data'!$C:$K,9,0)</f>
        <v>Nệm Hybrid Latex 120 x 200 x 27 cm</v>
      </c>
      <c r="D151" t="str">
        <f>VLOOKUP(E151,'0. Mã Supplier'!$B:$C,2,0)</f>
        <v>SUVN0003</v>
      </c>
      <c r="E151" t="s">
        <v>114</v>
      </c>
      <c r="F151" t="s">
        <v>290</v>
      </c>
      <c r="G151">
        <v>5</v>
      </c>
      <c r="H151" s="1">
        <v>5</v>
      </c>
      <c r="I151" s="1">
        <f>VLOOKUP($B151,'1. Master Data'!$C:$AB,26,0)</f>
        <v>2082010</v>
      </c>
      <c r="J151" s="1">
        <f t="shared" si="68"/>
        <v>10410050</v>
      </c>
      <c r="K151" s="1">
        <f t="shared" si="60"/>
        <v>11242854</v>
      </c>
      <c r="L151" s="24">
        <v>45860</v>
      </c>
      <c r="N151" s="24">
        <v>45923</v>
      </c>
      <c r="O151" s="54">
        <f t="shared" si="50"/>
        <v>63</v>
      </c>
      <c r="P151">
        <f t="shared" si="84"/>
        <v>9</v>
      </c>
      <c r="Q151">
        <f t="shared" si="85"/>
        <v>2025</v>
      </c>
      <c r="R151" t="s">
        <v>291</v>
      </c>
      <c r="T151" s="43">
        <f t="shared" si="86"/>
        <v>45923</v>
      </c>
      <c r="U151">
        <f>VLOOKUP($E151,'0. Mã Supplier'!$B:$F,5,0)</f>
        <v>60</v>
      </c>
      <c r="V151" s="53">
        <f t="shared" si="49"/>
        <v>45983</v>
      </c>
      <c r="W151" s="56">
        <f t="shared" si="54"/>
        <v>47</v>
      </c>
      <c r="X151" s="47">
        <f t="shared" si="55"/>
        <v>11</v>
      </c>
      <c r="Y151" s="47">
        <f t="shared" si="56"/>
        <v>2025</v>
      </c>
      <c r="AA151" s="45">
        <f t="shared" ca="1" si="57"/>
        <v>281</v>
      </c>
      <c r="AB151" s="1" t="b">
        <f t="shared" si="61"/>
        <v>0</v>
      </c>
      <c r="AD151" s="2">
        <f t="shared" si="58"/>
        <v>11242854</v>
      </c>
    </row>
    <row r="152" spans="1:30">
      <c r="A152" t="s">
        <v>306</v>
      </c>
      <c r="B152" t="s">
        <v>17</v>
      </c>
      <c r="C152" t="str">
        <f>VLOOKUP(B152,'1. Master Data'!$C:$K,9,0)</f>
        <v>Nệm Hybrid Latex 160 x 200 x 27 cm</v>
      </c>
      <c r="D152" t="str">
        <f>VLOOKUP(E152,'0. Mã Supplier'!$B:$C,2,0)</f>
        <v>SUVN0003</v>
      </c>
      <c r="E152" t="s">
        <v>114</v>
      </c>
      <c r="F152" t="s">
        <v>290</v>
      </c>
      <c r="G152">
        <v>6</v>
      </c>
      <c r="H152" s="1">
        <v>6</v>
      </c>
      <c r="I152" s="1">
        <f>VLOOKUP($B152,'1. Master Data'!$C:$AB,26,0)</f>
        <v>2572010</v>
      </c>
      <c r="J152" s="1">
        <f t="shared" si="68"/>
        <v>15432060</v>
      </c>
      <c r="K152" s="1">
        <f t="shared" si="60"/>
        <v>16666624.800000001</v>
      </c>
      <c r="L152" s="24">
        <v>45860</v>
      </c>
      <c r="N152" s="24">
        <v>45923</v>
      </c>
      <c r="O152" s="54">
        <f t="shared" si="50"/>
        <v>63</v>
      </c>
      <c r="P152">
        <f t="shared" si="84"/>
        <v>9</v>
      </c>
      <c r="Q152">
        <f t="shared" si="85"/>
        <v>2025</v>
      </c>
      <c r="R152" t="s">
        <v>291</v>
      </c>
      <c r="T152" s="43">
        <f t="shared" si="86"/>
        <v>45923</v>
      </c>
      <c r="U152">
        <f>VLOOKUP($E152,'0. Mã Supplier'!$B:$F,5,0)</f>
        <v>60</v>
      </c>
      <c r="V152" s="53">
        <f t="shared" si="49"/>
        <v>45983</v>
      </c>
      <c r="W152" s="56">
        <f t="shared" si="54"/>
        <v>47</v>
      </c>
      <c r="X152" s="47">
        <f t="shared" si="55"/>
        <v>11</v>
      </c>
      <c r="Y152" s="47">
        <f t="shared" si="56"/>
        <v>2025</v>
      </c>
      <c r="AA152" s="45">
        <f t="shared" ca="1" si="57"/>
        <v>281</v>
      </c>
      <c r="AB152" s="1" t="b">
        <f t="shared" si="61"/>
        <v>0</v>
      </c>
      <c r="AD152" s="2">
        <f t="shared" si="58"/>
        <v>16666624.800000001</v>
      </c>
    </row>
    <row r="153" spans="1:30">
      <c r="A153" t="s">
        <v>306</v>
      </c>
      <c r="B153" t="s">
        <v>18</v>
      </c>
      <c r="C153" t="str">
        <f>VLOOKUP(B153,'1. Master Data'!$C:$K,9,0)</f>
        <v>Nệm Hybrid Latex 180 x 200 x 27 cm</v>
      </c>
      <c r="D153" t="str">
        <f>VLOOKUP(E153,'0. Mã Supplier'!$B:$C,2,0)</f>
        <v>SUVN0003</v>
      </c>
      <c r="E153" t="s">
        <v>114</v>
      </c>
      <c r="F153" t="s">
        <v>290</v>
      </c>
      <c r="G153">
        <v>5</v>
      </c>
      <c r="H153" s="1">
        <v>5</v>
      </c>
      <c r="I153" s="1">
        <f>VLOOKUP($B153,'1. Master Data'!$C:$AB,26,0)</f>
        <v>2866010</v>
      </c>
      <c r="J153" s="1">
        <f t="shared" si="68"/>
        <v>14330050</v>
      </c>
      <c r="K153" s="1">
        <f t="shared" si="60"/>
        <v>15476454.000000002</v>
      </c>
      <c r="L153" s="24">
        <v>45860</v>
      </c>
      <c r="N153" s="24">
        <v>45923</v>
      </c>
      <c r="O153" s="54">
        <f t="shared" si="50"/>
        <v>63</v>
      </c>
      <c r="P153">
        <f t="shared" si="84"/>
        <v>9</v>
      </c>
      <c r="Q153">
        <f t="shared" si="85"/>
        <v>2025</v>
      </c>
      <c r="R153" t="s">
        <v>291</v>
      </c>
      <c r="T153" s="43">
        <f t="shared" si="86"/>
        <v>45923</v>
      </c>
      <c r="U153">
        <f>VLOOKUP($E153,'0. Mã Supplier'!$B:$F,5,0)</f>
        <v>60</v>
      </c>
      <c r="V153" s="53">
        <f t="shared" si="49"/>
        <v>45983</v>
      </c>
      <c r="W153" s="56">
        <f t="shared" si="54"/>
        <v>47</v>
      </c>
      <c r="X153" s="47">
        <f t="shared" si="55"/>
        <v>11</v>
      </c>
      <c r="Y153" s="47">
        <f t="shared" si="56"/>
        <v>2025</v>
      </c>
      <c r="AA153" s="45">
        <f t="shared" ca="1" si="57"/>
        <v>281</v>
      </c>
      <c r="AB153" s="1" t="b">
        <f t="shared" si="61"/>
        <v>0</v>
      </c>
      <c r="AD153" s="2">
        <f t="shared" si="58"/>
        <v>15476454.000000002</v>
      </c>
    </row>
    <row r="154" spans="1:30">
      <c r="A154" t="s">
        <v>331</v>
      </c>
      <c r="B154" t="s">
        <v>15</v>
      </c>
      <c r="C154" t="str">
        <f>VLOOKUP(B154,'1. Master Data'!$C:$K,9,0)</f>
        <v>Nệm Hybrid 180 x 200 x 25 cm</v>
      </c>
      <c r="D154" t="str">
        <f>VLOOKUP(E154,'0. Mã Supplier'!$B:$C,2,0)</f>
        <v>SUVN0003</v>
      </c>
      <c r="E154" t="s">
        <v>114</v>
      </c>
      <c r="F154" t="s">
        <v>290</v>
      </c>
      <c r="G154">
        <v>10</v>
      </c>
      <c r="H154" s="1">
        <v>10</v>
      </c>
      <c r="I154" s="1">
        <f>VLOOKUP($B154,'1. Master Data'!$C:$AB,26,0)</f>
        <v>2425010</v>
      </c>
      <c r="J154" s="1">
        <f t="shared" si="68"/>
        <v>24250100</v>
      </c>
      <c r="K154" s="1">
        <f t="shared" si="60"/>
        <v>26190108</v>
      </c>
      <c r="L154" s="24">
        <v>45929</v>
      </c>
      <c r="N154" s="24">
        <v>45968</v>
      </c>
      <c r="O154" s="54">
        <f t="shared" si="50"/>
        <v>39</v>
      </c>
      <c r="P154">
        <f t="shared" si="84"/>
        <v>11</v>
      </c>
      <c r="Q154">
        <f t="shared" si="85"/>
        <v>2025</v>
      </c>
      <c r="R154" t="s">
        <v>291</v>
      </c>
      <c r="T154" s="43">
        <f t="shared" ref="T154:T156" si="87">N154</f>
        <v>45968</v>
      </c>
      <c r="U154">
        <f>VLOOKUP($E154,'0. Mã Supplier'!$B:$F,5,0)</f>
        <v>60</v>
      </c>
      <c r="V154" s="53">
        <f t="shared" ref="V154:V156" si="88">T154+U154</f>
        <v>46028</v>
      </c>
      <c r="W154" s="56">
        <f t="shared" ref="W154:W156" si="89">WEEKNUM(V154)</f>
        <v>2</v>
      </c>
      <c r="X154" s="47">
        <f t="shared" ref="X154:X156" si="90">IF(V154&lt;&gt;0,MONTH(V154),"")</f>
        <v>1</v>
      </c>
      <c r="Y154" s="47">
        <f t="shared" ref="Y154:Y156" si="91">YEAR(V154)</f>
        <v>2026</v>
      </c>
      <c r="AA154" s="45">
        <f t="shared" ref="AA154:AA156" ca="1" si="92">IF(Z154="yes",0,TODAY()-V154)</f>
        <v>236</v>
      </c>
      <c r="AB154" s="1" t="b">
        <f t="shared" ref="AB154:AB156" si="93">IF(Z154="Yes",K154)</f>
        <v>0</v>
      </c>
      <c r="AD154" s="2">
        <f t="shared" si="58"/>
        <v>26190108</v>
      </c>
    </row>
    <row r="155" spans="1:30">
      <c r="A155" t="s">
        <v>331</v>
      </c>
      <c r="B155" t="s">
        <v>17</v>
      </c>
      <c r="C155" t="str">
        <f>VLOOKUP(B155,'1. Master Data'!$C:$K,9,0)</f>
        <v>Nệm Hybrid Latex 160 x 200 x 27 cm</v>
      </c>
      <c r="D155" t="str">
        <f>VLOOKUP(E155,'0. Mã Supplier'!$B:$C,2,0)</f>
        <v>SUVN0003</v>
      </c>
      <c r="E155" t="s">
        <v>114</v>
      </c>
      <c r="F155" t="s">
        <v>290</v>
      </c>
      <c r="G155">
        <v>10</v>
      </c>
      <c r="H155" s="1">
        <v>10</v>
      </c>
      <c r="I155" s="1">
        <f>VLOOKUP($B155,'1. Master Data'!$C:$AB,26,0)</f>
        <v>2572010</v>
      </c>
      <c r="J155" s="1">
        <f t="shared" si="68"/>
        <v>25720100</v>
      </c>
      <c r="K155" s="1">
        <f t="shared" si="60"/>
        <v>27777708</v>
      </c>
      <c r="L155" s="24">
        <v>45929</v>
      </c>
      <c r="N155" s="24">
        <v>45968</v>
      </c>
      <c r="O155" s="54">
        <f t="shared" ref="O155:O156" si="94">N155-L155</f>
        <v>39</v>
      </c>
      <c r="P155">
        <f t="shared" ref="P155:P156" si="95">MONTH(N155)</f>
        <v>11</v>
      </c>
      <c r="Q155">
        <f t="shared" ref="Q155:Q156" si="96">YEAR(N155)</f>
        <v>2025</v>
      </c>
      <c r="R155" t="s">
        <v>291</v>
      </c>
      <c r="T155" s="43">
        <f t="shared" si="87"/>
        <v>45968</v>
      </c>
      <c r="U155">
        <f>VLOOKUP($E155,'0. Mã Supplier'!$B:$F,5,0)</f>
        <v>60</v>
      </c>
      <c r="V155" s="53">
        <f t="shared" si="88"/>
        <v>46028</v>
      </c>
      <c r="W155" s="56">
        <f t="shared" si="89"/>
        <v>2</v>
      </c>
      <c r="X155" s="47">
        <f t="shared" si="90"/>
        <v>1</v>
      </c>
      <c r="Y155" s="47">
        <f t="shared" si="91"/>
        <v>2026</v>
      </c>
      <c r="AA155" s="45">
        <f t="shared" ca="1" si="92"/>
        <v>236</v>
      </c>
      <c r="AB155" s="1" t="b">
        <f t="shared" si="93"/>
        <v>0</v>
      </c>
      <c r="AD155" s="2">
        <f t="shared" si="58"/>
        <v>27777708</v>
      </c>
    </row>
    <row r="156" spans="1:30">
      <c r="A156" t="s">
        <v>331</v>
      </c>
      <c r="B156" t="s">
        <v>18</v>
      </c>
      <c r="C156" t="str">
        <f>VLOOKUP(B156,'1. Master Data'!$C:$K,9,0)</f>
        <v>Nệm Hybrid Latex 180 x 200 x 27 cm</v>
      </c>
      <c r="D156" t="str">
        <f>VLOOKUP(E156,'0. Mã Supplier'!$B:$C,2,0)</f>
        <v>SUVN0003</v>
      </c>
      <c r="E156" t="s">
        <v>114</v>
      </c>
      <c r="F156" t="s">
        <v>290</v>
      </c>
      <c r="G156">
        <v>10</v>
      </c>
      <c r="H156" s="1">
        <v>10</v>
      </c>
      <c r="I156" s="1">
        <f>VLOOKUP($B156,'1. Master Data'!$C:$AB,26,0)</f>
        <v>2866010</v>
      </c>
      <c r="J156" s="1">
        <f t="shared" si="68"/>
        <v>28660100</v>
      </c>
      <c r="K156" s="1">
        <f t="shared" si="60"/>
        <v>30952908.000000004</v>
      </c>
      <c r="L156" s="24">
        <v>45929</v>
      </c>
      <c r="N156" s="24">
        <v>45968</v>
      </c>
      <c r="O156" s="54">
        <f t="shared" si="94"/>
        <v>39</v>
      </c>
      <c r="P156">
        <f t="shared" si="95"/>
        <v>11</v>
      </c>
      <c r="Q156">
        <f t="shared" si="96"/>
        <v>2025</v>
      </c>
      <c r="R156" t="s">
        <v>291</v>
      </c>
      <c r="T156" s="43">
        <f t="shared" si="87"/>
        <v>45968</v>
      </c>
      <c r="U156">
        <f>VLOOKUP($E156,'0. Mã Supplier'!$B:$F,5,0)</f>
        <v>60</v>
      </c>
      <c r="V156" s="53">
        <f t="shared" si="88"/>
        <v>46028</v>
      </c>
      <c r="W156" s="56">
        <f t="shared" si="89"/>
        <v>2</v>
      </c>
      <c r="X156" s="47">
        <f t="shared" si="90"/>
        <v>1</v>
      </c>
      <c r="Y156" s="47">
        <f t="shared" si="91"/>
        <v>2026</v>
      </c>
      <c r="AA156" s="45">
        <f t="shared" ca="1" si="92"/>
        <v>236</v>
      </c>
      <c r="AB156" s="1" t="b">
        <f t="shared" si="93"/>
        <v>0</v>
      </c>
      <c r="AD156" s="2">
        <f t="shared" si="58"/>
        <v>30952908.000000004</v>
      </c>
    </row>
    <row r="157" spans="1:30">
      <c r="A157" t="s">
        <v>307</v>
      </c>
      <c r="B157" t="s">
        <v>54</v>
      </c>
      <c r="C157" t="str">
        <f>VLOOKUP(B157,'1. Master Data'!$C:$K,9,0)</f>
        <v>Bộ Chăn ga chun gấu xanh gấu hồng 3CT Gấu xanh 160 x 200 cm</v>
      </c>
      <c r="D157" t="str">
        <f>VLOOKUP(E157,'0. Mã Supplier'!$B:$C,2,0)</f>
        <v>SUVN0004</v>
      </c>
      <c r="E157" t="s">
        <v>116</v>
      </c>
      <c r="F157" t="s">
        <v>293</v>
      </c>
      <c r="G157" s="1">
        <v>50</v>
      </c>
      <c r="H157" s="1">
        <v>50</v>
      </c>
      <c r="I157" s="1">
        <f>VLOOKUP($B157,'1. Master Data'!$C:$AB,26,0)</f>
        <v>155630</v>
      </c>
      <c r="J157" s="1">
        <f t="shared" si="68"/>
        <v>7781500</v>
      </c>
      <c r="K157" s="1">
        <f t="shared" si="60"/>
        <v>8404020</v>
      </c>
      <c r="N157" s="24">
        <v>45727</v>
      </c>
      <c r="O157" s="54">
        <f t="shared" si="50"/>
        <v>45727</v>
      </c>
      <c r="P157">
        <f t="shared" si="84"/>
        <v>3</v>
      </c>
      <c r="Q157">
        <f t="shared" si="85"/>
        <v>2025</v>
      </c>
      <c r="R157" t="s">
        <v>291</v>
      </c>
      <c r="T157" s="43">
        <v>45782</v>
      </c>
      <c r="U157">
        <f>VLOOKUP($E157,'0. Mã Supplier'!$B:$F,5,0)</f>
        <v>60</v>
      </c>
      <c r="V157" s="53">
        <f t="shared" si="49"/>
        <v>45842</v>
      </c>
      <c r="W157" s="56">
        <f t="shared" si="54"/>
        <v>27</v>
      </c>
      <c r="X157" s="47">
        <f t="shared" si="55"/>
        <v>7</v>
      </c>
      <c r="Y157" s="47">
        <f t="shared" si="56"/>
        <v>2025</v>
      </c>
      <c r="AA157" s="45">
        <f t="shared" ca="1" si="57"/>
        <v>422</v>
      </c>
      <c r="AB157" s="1">
        <v>20000000</v>
      </c>
      <c r="AD157" s="2">
        <f t="shared" si="58"/>
        <v>-11595980</v>
      </c>
    </row>
    <row r="158" spans="1:30">
      <c r="A158" t="s">
        <v>307</v>
      </c>
      <c r="B158" t="s">
        <v>55</v>
      </c>
      <c r="C158" t="str">
        <f>VLOOKUP(B158,'1. Master Data'!$C:$K,9,0)</f>
        <v>Bộ Chăn ga chun gấu xanh gấu hồng 3CT Gấu hồng 160 x 200 cm</v>
      </c>
      <c r="D158" t="str">
        <f>VLOOKUP(E158,'0. Mã Supplier'!$B:$C,2,0)</f>
        <v>SUVN0004</v>
      </c>
      <c r="E158" t="s">
        <v>116</v>
      </c>
      <c r="F158" t="s">
        <v>293</v>
      </c>
      <c r="G158" s="1">
        <v>50</v>
      </c>
      <c r="H158" s="1">
        <v>50</v>
      </c>
      <c r="I158" s="1">
        <f>VLOOKUP($B158,'1. Master Data'!$C:$AB,26,0)</f>
        <v>155630</v>
      </c>
      <c r="J158" s="1">
        <f t="shared" si="68"/>
        <v>7781500</v>
      </c>
      <c r="K158" s="1">
        <f t="shared" si="60"/>
        <v>8404020</v>
      </c>
      <c r="N158" s="24">
        <v>45727</v>
      </c>
      <c r="O158" s="54">
        <f t="shared" si="50"/>
        <v>45727</v>
      </c>
      <c r="P158">
        <f t="shared" ref="P158:P163" si="97">MONTH(N158)</f>
        <v>3</v>
      </c>
      <c r="Q158">
        <f t="shared" ref="Q158:Q163" si="98">YEAR(N158)</f>
        <v>2025</v>
      </c>
      <c r="R158" t="s">
        <v>291</v>
      </c>
      <c r="T158" s="43">
        <v>45782</v>
      </c>
      <c r="U158">
        <f>VLOOKUP($E158,'0. Mã Supplier'!$B:$F,5,0)</f>
        <v>60</v>
      </c>
      <c r="V158" s="53">
        <f t="shared" si="49"/>
        <v>45842</v>
      </c>
      <c r="W158" s="56">
        <f t="shared" si="54"/>
        <v>27</v>
      </c>
      <c r="X158" s="47">
        <f t="shared" si="55"/>
        <v>7</v>
      </c>
      <c r="Y158" s="47">
        <f t="shared" si="56"/>
        <v>2025</v>
      </c>
      <c r="AA158" s="45">
        <f t="shared" ca="1" si="57"/>
        <v>422</v>
      </c>
      <c r="AB158" s="1">
        <v>20000000</v>
      </c>
      <c r="AD158" s="2">
        <f t="shared" si="58"/>
        <v>-11595980</v>
      </c>
    </row>
    <row r="159" spans="1:30">
      <c r="A159" t="s">
        <v>307</v>
      </c>
      <c r="B159" t="s">
        <v>56</v>
      </c>
      <c r="C159" t="str">
        <f>VLOOKUP(B159,'1. Master Data'!$C:$K,9,0)</f>
        <v>Bộ Chăn ga chun gấu xanh gấu hồng 3CT Gấu xanh 180 x 200 cm</v>
      </c>
      <c r="D159" t="str">
        <f>VLOOKUP(E159,'0. Mã Supplier'!$B:$C,2,0)</f>
        <v>SUVN0004</v>
      </c>
      <c r="E159" t="s">
        <v>116</v>
      </c>
      <c r="F159" t="s">
        <v>293</v>
      </c>
      <c r="G159" s="1">
        <v>50</v>
      </c>
      <c r="H159" s="1">
        <v>50</v>
      </c>
      <c r="I159" s="1">
        <f>VLOOKUP($B159,'1. Master Data'!$C:$AB,26,0)</f>
        <v>163300</v>
      </c>
      <c r="J159" s="1">
        <f t="shared" si="68"/>
        <v>8165000</v>
      </c>
      <c r="K159" s="1">
        <f t="shared" si="60"/>
        <v>8818200</v>
      </c>
      <c r="N159" s="24">
        <v>45727</v>
      </c>
      <c r="O159" s="54">
        <f t="shared" si="50"/>
        <v>45727</v>
      </c>
      <c r="P159">
        <f t="shared" si="97"/>
        <v>3</v>
      </c>
      <c r="Q159">
        <f t="shared" si="98"/>
        <v>2025</v>
      </c>
      <c r="R159" t="s">
        <v>291</v>
      </c>
      <c r="T159" s="43">
        <v>45782</v>
      </c>
      <c r="U159">
        <f>VLOOKUP($E159,'0. Mã Supplier'!$B:$F,5,0)</f>
        <v>60</v>
      </c>
      <c r="V159" s="53">
        <f t="shared" si="49"/>
        <v>45842</v>
      </c>
      <c r="W159" s="56">
        <f t="shared" si="54"/>
        <v>27</v>
      </c>
      <c r="X159" s="47">
        <f t="shared" si="55"/>
        <v>7</v>
      </c>
      <c r="Y159" s="47">
        <f t="shared" si="56"/>
        <v>2025</v>
      </c>
      <c r="AA159" s="45">
        <f t="shared" ca="1" si="57"/>
        <v>422</v>
      </c>
      <c r="AB159" s="1">
        <v>10000000</v>
      </c>
      <c r="AC159" s="46">
        <v>46024</v>
      </c>
      <c r="AD159" s="2">
        <f t="shared" si="58"/>
        <v>-1181800</v>
      </c>
    </row>
    <row r="160" spans="1:30">
      <c r="A160" t="s">
        <v>307</v>
      </c>
      <c r="B160" t="s">
        <v>57</v>
      </c>
      <c r="C160" t="str">
        <f>VLOOKUP(B160,'1. Master Data'!$C:$K,9,0)</f>
        <v>Bộ Chăn ga chun gấu xanh gấu hồng 3CT Gấu hồng 180 x 200 cm</v>
      </c>
      <c r="D160" t="str">
        <f>VLOOKUP(E160,'0. Mã Supplier'!$B:$C,2,0)</f>
        <v>SUVN0004</v>
      </c>
      <c r="E160" t="s">
        <v>116</v>
      </c>
      <c r="F160" t="s">
        <v>293</v>
      </c>
      <c r="G160" s="1">
        <v>50</v>
      </c>
      <c r="H160" s="1">
        <v>50</v>
      </c>
      <c r="I160" s="1">
        <f>VLOOKUP($B160,'1. Master Data'!$C:$AB,26,0)</f>
        <v>163300</v>
      </c>
      <c r="J160" s="1">
        <f t="shared" si="68"/>
        <v>8165000</v>
      </c>
      <c r="K160" s="1">
        <f t="shared" si="60"/>
        <v>8818200</v>
      </c>
      <c r="N160" s="24">
        <v>45727</v>
      </c>
      <c r="O160" s="54">
        <f t="shared" si="50"/>
        <v>45727</v>
      </c>
      <c r="P160">
        <f t="shared" si="97"/>
        <v>3</v>
      </c>
      <c r="Q160">
        <f t="shared" si="98"/>
        <v>2025</v>
      </c>
      <c r="R160" t="s">
        <v>291</v>
      </c>
      <c r="T160" s="43">
        <v>45782</v>
      </c>
      <c r="U160">
        <f>VLOOKUP($E160,'0. Mã Supplier'!$B:$F,5,0)</f>
        <v>60</v>
      </c>
      <c r="V160" s="53">
        <f t="shared" si="49"/>
        <v>45842</v>
      </c>
      <c r="W160" s="56">
        <f t="shared" si="54"/>
        <v>27</v>
      </c>
      <c r="X160" s="47">
        <f t="shared" si="55"/>
        <v>7</v>
      </c>
      <c r="Y160" s="47">
        <f t="shared" si="56"/>
        <v>2025</v>
      </c>
      <c r="AA160" s="45">
        <f t="shared" ca="1" si="57"/>
        <v>422</v>
      </c>
      <c r="AB160" s="1" t="b">
        <f t="shared" si="61"/>
        <v>0</v>
      </c>
      <c r="AD160" s="2">
        <f t="shared" si="58"/>
        <v>8818200</v>
      </c>
    </row>
    <row r="161" spans="1:30">
      <c r="A161" t="s">
        <v>307</v>
      </c>
      <c r="B161" t="s">
        <v>87</v>
      </c>
      <c r="C161" t="str">
        <f>VLOOKUP(B161,'1. Master Data'!$C:$K,9,0)</f>
        <v>Chăn T&amp;N Polyester HQ (chần) Gấu xanh 200 x 230 cm</v>
      </c>
      <c r="D161" t="str">
        <f>VLOOKUP(E161,'0. Mã Supplier'!$B:$C,2,0)</f>
        <v>SUVN0004</v>
      </c>
      <c r="E161" t="s">
        <v>116</v>
      </c>
      <c r="F161" t="s">
        <v>290</v>
      </c>
      <c r="G161" s="1">
        <v>50</v>
      </c>
      <c r="H161" s="1">
        <v>50</v>
      </c>
      <c r="I161" s="1">
        <f>VLOOKUP($B161,'1. Master Data'!$C:$AB,26,0)</f>
        <v>204190</v>
      </c>
      <c r="J161" s="1">
        <f t="shared" si="68"/>
        <v>10209500</v>
      </c>
      <c r="K161" s="1">
        <f t="shared" si="60"/>
        <v>11026260</v>
      </c>
      <c r="N161" s="24">
        <v>45727</v>
      </c>
      <c r="O161" s="54">
        <f t="shared" si="50"/>
        <v>45727</v>
      </c>
      <c r="P161">
        <f t="shared" si="97"/>
        <v>3</v>
      </c>
      <c r="Q161">
        <f t="shared" si="98"/>
        <v>2025</v>
      </c>
      <c r="R161" t="s">
        <v>291</v>
      </c>
      <c r="T161" s="43">
        <v>45782</v>
      </c>
      <c r="U161">
        <f>VLOOKUP($E161,'0. Mã Supplier'!$B:$F,5,0)</f>
        <v>60</v>
      </c>
      <c r="V161" s="53">
        <f t="shared" si="49"/>
        <v>45842</v>
      </c>
      <c r="W161" s="56">
        <f t="shared" si="54"/>
        <v>27</v>
      </c>
      <c r="X161" s="47">
        <f t="shared" si="55"/>
        <v>7</v>
      </c>
      <c r="Y161" s="47">
        <f t="shared" si="56"/>
        <v>2025</v>
      </c>
      <c r="AA161" s="45">
        <f t="shared" ca="1" si="57"/>
        <v>422</v>
      </c>
      <c r="AB161" s="1" t="b">
        <f t="shared" si="61"/>
        <v>0</v>
      </c>
      <c r="AD161" s="2">
        <f t="shared" si="58"/>
        <v>11026260</v>
      </c>
    </row>
    <row r="162" spans="1:30">
      <c r="A162" t="s">
        <v>307</v>
      </c>
      <c r="B162" t="s">
        <v>88</v>
      </c>
      <c r="C162" t="str">
        <f>VLOOKUP(B162,'1. Master Data'!$C:$K,9,0)</f>
        <v>Chăn T&amp;N Polyester HQ (chần) Gấu hồng 200 x 230 cm</v>
      </c>
      <c r="D162" t="str">
        <f>VLOOKUP(E162,'0. Mã Supplier'!$B:$C,2,0)</f>
        <v>SUVN0004</v>
      </c>
      <c r="E162" t="s">
        <v>116</v>
      </c>
      <c r="F162" t="s">
        <v>290</v>
      </c>
      <c r="G162" s="1">
        <v>50</v>
      </c>
      <c r="H162" s="1">
        <v>50</v>
      </c>
      <c r="I162" s="1">
        <f>VLOOKUP($B162,'1. Master Data'!$C:$AB,26,0)</f>
        <v>204190</v>
      </c>
      <c r="J162" s="1">
        <f t="shared" si="68"/>
        <v>10209500</v>
      </c>
      <c r="K162" s="1">
        <f t="shared" si="60"/>
        <v>11026260</v>
      </c>
      <c r="N162" s="24">
        <v>45727</v>
      </c>
      <c r="O162" s="54">
        <f t="shared" si="50"/>
        <v>45727</v>
      </c>
      <c r="P162">
        <f t="shared" si="97"/>
        <v>3</v>
      </c>
      <c r="Q162">
        <f t="shared" si="98"/>
        <v>2025</v>
      </c>
      <c r="R162" t="s">
        <v>291</v>
      </c>
      <c r="T162" s="43">
        <v>45782</v>
      </c>
      <c r="U162">
        <f>VLOOKUP($E162,'0. Mã Supplier'!$B:$F,5,0)</f>
        <v>60</v>
      </c>
      <c r="V162" s="53">
        <f t="shared" si="49"/>
        <v>45842</v>
      </c>
      <c r="W162" s="56">
        <f t="shared" si="54"/>
        <v>27</v>
      </c>
      <c r="X162" s="47">
        <f t="shared" si="55"/>
        <v>7</v>
      </c>
      <c r="Y162" s="47">
        <f t="shared" si="56"/>
        <v>2025</v>
      </c>
      <c r="AA162" s="45">
        <f t="shared" ca="1" si="57"/>
        <v>422</v>
      </c>
      <c r="AB162" s="1" t="b">
        <f t="shared" si="61"/>
        <v>0</v>
      </c>
      <c r="AD162" s="2">
        <f t="shared" si="58"/>
        <v>11026260</v>
      </c>
    </row>
    <row r="163" spans="1:30">
      <c r="A163" t="s">
        <v>308</v>
      </c>
      <c r="B163" t="s">
        <v>58</v>
      </c>
      <c r="C163" t="str">
        <f>VLOOKUP(B163,'1. Master Data'!$C:$K,9,0)</f>
        <v>Phụ Kiện Everlife Tấm bảo vệ nệm chống thấm Mẫu 1, 120 x 200 cm</v>
      </c>
      <c r="D163" t="str">
        <f>VLOOKUP(E163,'0. Mã Supplier'!$B:$C,2,0)</f>
        <v>SUVN0005</v>
      </c>
      <c r="E163" t="s">
        <v>118</v>
      </c>
      <c r="F163" t="s">
        <v>293</v>
      </c>
      <c r="G163" s="1">
        <v>2</v>
      </c>
      <c r="H163" s="1">
        <v>2</v>
      </c>
      <c r="I163" s="1">
        <f>VLOOKUP($B163,'1. Master Data'!$C:$AB,26,0)</f>
        <v>451000.00000000006</v>
      </c>
      <c r="J163" s="1">
        <f t="shared" ref="J163:J171" si="99">I163*H163</f>
        <v>902000.00000000012</v>
      </c>
      <c r="K163" s="1">
        <f t="shared" ref="K163:K171" si="100">J163*1.08</f>
        <v>974160.00000000023</v>
      </c>
      <c r="N163" s="24">
        <v>45807</v>
      </c>
      <c r="O163" s="54">
        <f t="shared" si="50"/>
        <v>45807</v>
      </c>
      <c r="P163">
        <f t="shared" si="97"/>
        <v>5</v>
      </c>
      <c r="Q163">
        <f t="shared" si="98"/>
        <v>2025</v>
      </c>
      <c r="R163" t="s">
        <v>291</v>
      </c>
      <c r="T163" s="43">
        <v>45813</v>
      </c>
      <c r="U163">
        <f>VLOOKUP($E163,'0. Mã Supplier'!$B:$F,5,0)</f>
        <v>60</v>
      </c>
      <c r="V163" s="53">
        <f t="shared" si="49"/>
        <v>45873</v>
      </c>
      <c r="W163" s="56">
        <f t="shared" si="54"/>
        <v>32</v>
      </c>
      <c r="X163" s="47">
        <f t="shared" si="55"/>
        <v>8</v>
      </c>
      <c r="Y163" s="47">
        <f t="shared" si="56"/>
        <v>2025</v>
      </c>
      <c r="Z163" t="s">
        <v>261</v>
      </c>
      <c r="AA163" s="45">
        <f t="shared" ca="1" si="57"/>
        <v>0</v>
      </c>
      <c r="AB163" s="1">
        <f t="shared" si="61"/>
        <v>974160.00000000023</v>
      </c>
      <c r="AD163" s="2">
        <f t="shared" si="58"/>
        <v>0</v>
      </c>
    </row>
    <row r="164" spans="1:30">
      <c r="A164" t="s">
        <v>308</v>
      </c>
      <c r="B164" t="s">
        <v>59</v>
      </c>
      <c r="C164" t="str">
        <f>VLOOKUP(B164,'1. Master Data'!$C:$K,9,0)</f>
        <v>Phụ Kiện Everlife Tấm bảo vệ nệm chống thấm Mẫu 1, 160 x 200 cm</v>
      </c>
      <c r="D164" t="str">
        <f>VLOOKUP(E164,'0. Mã Supplier'!$B:$C,2,0)</f>
        <v>SUVN0005</v>
      </c>
      <c r="E164" t="s">
        <v>118</v>
      </c>
      <c r="F164" t="s">
        <v>293</v>
      </c>
      <c r="G164" s="1">
        <v>5</v>
      </c>
      <c r="H164" s="1">
        <v>5</v>
      </c>
      <c r="I164" s="1">
        <f>VLOOKUP($B164,'1. Master Data'!$C:$AB,26,0)</f>
        <v>522500.00000000006</v>
      </c>
      <c r="J164" s="1">
        <f t="shared" si="99"/>
        <v>2612500.0000000005</v>
      </c>
      <c r="K164" s="1">
        <f t="shared" si="100"/>
        <v>2821500.0000000005</v>
      </c>
      <c r="N164" s="24">
        <v>45807</v>
      </c>
      <c r="O164" s="54">
        <f t="shared" si="50"/>
        <v>45807</v>
      </c>
      <c r="P164">
        <f t="shared" ref="P164:P171" si="101">MONTH(N164)</f>
        <v>5</v>
      </c>
      <c r="Q164">
        <f t="shared" ref="Q164:Q171" si="102">YEAR(N164)</f>
        <v>2025</v>
      </c>
      <c r="R164" t="s">
        <v>291</v>
      </c>
      <c r="T164" s="43">
        <v>45813</v>
      </c>
      <c r="U164">
        <f>VLOOKUP($E164,'0. Mã Supplier'!$B:$F,5,0)</f>
        <v>60</v>
      </c>
      <c r="V164" s="53">
        <f t="shared" si="49"/>
        <v>45873</v>
      </c>
      <c r="W164" s="56">
        <f t="shared" si="54"/>
        <v>32</v>
      </c>
      <c r="X164" s="47">
        <f t="shared" si="55"/>
        <v>8</v>
      </c>
      <c r="Y164" s="47">
        <f t="shared" si="56"/>
        <v>2025</v>
      </c>
      <c r="Z164" t="s">
        <v>261</v>
      </c>
      <c r="AA164" s="45">
        <f t="shared" ca="1" si="57"/>
        <v>0</v>
      </c>
      <c r="AB164" s="1">
        <f t="shared" si="61"/>
        <v>2821500.0000000005</v>
      </c>
      <c r="AD164" s="2">
        <f t="shared" si="58"/>
        <v>0</v>
      </c>
    </row>
    <row r="165" spans="1:30">
      <c r="A165" t="s">
        <v>308</v>
      </c>
      <c r="B165" t="s">
        <v>60</v>
      </c>
      <c r="C165" t="str">
        <f>VLOOKUP(B165,'1. Master Data'!$C:$K,9,0)</f>
        <v>Phụ Kiện Everlife Tấm bảo vệ nệm chống thấm Mẫu 1, 180 x 200 cm</v>
      </c>
      <c r="D165" t="str">
        <f>VLOOKUP(E165,'0. Mã Supplier'!$B:$C,2,0)</f>
        <v>SUVN0005</v>
      </c>
      <c r="E165" t="s">
        <v>118</v>
      </c>
      <c r="F165" t="s">
        <v>293</v>
      </c>
      <c r="G165" s="1">
        <v>5</v>
      </c>
      <c r="H165" s="1">
        <v>5</v>
      </c>
      <c r="I165" s="1">
        <f>VLOOKUP($B165,'1. Master Data'!$C:$AB,26,0)</f>
        <v>577500</v>
      </c>
      <c r="J165" s="1">
        <f t="shared" si="99"/>
        <v>2887500</v>
      </c>
      <c r="K165" s="1">
        <f t="shared" si="100"/>
        <v>3118500</v>
      </c>
      <c r="N165" s="24">
        <v>45807</v>
      </c>
      <c r="O165" s="54">
        <f t="shared" si="50"/>
        <v>45807</v>
      </c>
      <c r="P165">
        <f t="shared" si="101"/>
        <v>5</v>
      </c>
      <c r="Q165">
        <f t="shared" si="102"/>
        <v>2025</v>
      </c>
      <c r="R165" t="s">
        <v>291</v>
      </c>
      <c r="T165" s="43">
        <v>45813</v>
      </c>
      <c r="U165">
        <f>VLOOKUP($E165,'0. Mã Supplier'!$B:$F,5,0)</f>
        <v>60</v>
      </c>
      <c r="V165" s="53">
        <f t="shared" si="49"/>
        <v>45873</v>
      </c>
      <c r="W165" s="56">
        <f t="shared" si="54"/>
        <v>32</v>
      </c>
      <c r="X165" s="47">
        <f t="shared" si="55"/>
        <v>8</v>
      </c>
      <c r="Y165" s="47">
        <f t="shared" si="56"/>
        <v>2025</v>
      </c>
      <c r="Z165" t="s">
        <v>261</v>
      </c>
      <c r="AA165" s="45">
        <f t="shared" ca="1" si="57"/>
        <v>0</v>
      </c>
      <c r="AB165" s="1">
        <f t="shared" si="61"/>
        <v>3118500</v>
      </c>
      <c r="AD165" s="2">
        <f t="shared" si="58"/>
        <v>0</v>
      </c>
    </row>
    <row r="166" spans="1:30">
      <c r="A166" t="s">
        <v>308</v>
      </c>
      <c r="B166" t="s">
        <v>61</v>
      </c>
      <c r="C166" t="str">
        <f>VLOOKUP(B166,'1. Master Data'!$C:$K,9,0)</f>
        <v>Phụ Kiện Everlife Tấm bảo vệ nệm chống thấm Mẫu 2, 120 x 200 cm</v>
      </c>
      <c r="D166" t="str">
        <f>VLOOKUP(E166,'0. Mã Supplier'!$B:$C,2,0)</f>
        <v>SUVN0005</v>
      </c>
      <c r="E166" t="s">
        <v>118</v>
      </c>
      <c r="F166" t="s">
        <v>293</v>
      </c>
      <c r="G166" s="1">
        <v>2</v>
      </c>
      <c r="H166" s="1">
        <v>2</v>
      </c>
      <c r="I166" s="1">
        <f>VLOOKUP($B166,'1. Master Data'!$C:$AB,26,0)</f>
        <v>396000.00000000006</v>
      </c>
      <c r="J166" s="1">
        <f t="shared" si="99"/>
        <v>792000.00000000012</v>
      </c>
      <c r="K166" s="1">
        <f t="shared" si="100"/>
        <v>855360.00000000023</v>
      </c>
      <c r="N166" s="24">
        <v>45807</v>
      </c>
      <c r="O166" s="54">
        <f t="shared" si="50"/>
        <v>45807</v>
      </c>
      <c r="P166">
        <f t="shared" si="101"/>
        <v>5</v>
      </c>
      <c r="Q166">
        <f t="shared" si="102"/>
        <v>2025</v>
      </c>
      <c r="R166" t="s">
        <v>291</v>
      </c>
      <c r="T166" s="43">
        <v>45813</v>
      </c>
      <c r="U166">
        <f>VLOOKUP($E166,'0. Mã Supplier'!$B:$F,5,0)</f>
        <v>60</v>
      </c>
      <c r="V166" s="53">
        <f t="shared" si="49"/>
        <v>45873</v>
      </c>
      <c r="W166" s="56">
        <f t="shared" si="54"/>
        <v>32</v>
      </c>
      <c r="X166" s="47">
        <f t="shared" si="55"/>
        <v>8</v>
      </c>
      <c r="Y166" s="47">
        <f t="shared" si="56"/>
        <v>2025</v>
      </c>
      <c r="Z166" t="s">
        <v>261</v>
      </c>
      <c r="AA166" s="45">
        <f t="shared" ca="1" si="57"/>
        <v>0</v>
      </c>
      <c r="AB166" s="1">
        <f t="shared" si="61"/>
        <v>855360.00000000023</v>
      </c>
      <c r="AD166" s="2">
        <f t="shared" si="58"/>
        <v>0</v>
      </c>
    </row>
    <row r="167" spans="1:30">
      <c r="A167" t="s">
        <v>308</v>
      </c>
      <c r="B167" t="s">
        <v>62</v>
      </c>
      <c r="C167" t="str">
        <f>VLOOKUP(B167,'1. Master Data'!$C:$K,9,0)</f>
        <v>Phụ Kiện Everlife Tấm bảo vệ nệm chống thấm Mẫu 2, 160 x 200 cm</v>
      </c>
      <c r="D167" t="str">
        <f>VLOOKUP(E167,'0. Mã Supplier'!$B:$C,2,0)</f>
        <v>SUVN0005</v>
      </c>
      <c r="E167" t="s">
        <v>118</v>
      </c>
      <c r="F167" t="s">
        <v>293</v>
      </c>
      <c r="G167" s="1">
        <v>5</v>
      </c>
      <c r="H167" s="1">
        <v>5</v>
      </c>
      <c r="I167" s="1">
        <f>VLOOKUP($B167,'1. Master Data'!$C:$AB,26,0)</f>
        <v>467500.00000000006</v>
      </c>
      <c r="J167" s="1">
        <f t="shared" si="99"/>
        <v>2337500.0000000005</v>
      </c>
      <c r="K167" s="1">
        <f t="shared" si="100"/>
        <v>2524500.0000000005</v>
      </c>
      <c r="N167" s="24">
        <v>45807</v>
      </c>
      <c r="O167" s="54">
        <f t="shared" si="50"/>
        <v>45807</v>
      </c>
      <c r="P167">
        <f t="shared" si="101"/>
        <v>5</v>
      </c>
      <c r="Q167">
        <f t="shared" si="102"/>
        <v>2025</v>
      </c>
      <c r="R167" t="s">
        <v>291</v>
      </c>
      <c r="T167" s="43">
        <v>45813</v>
      </c>
      <c r="U167">
        <f>VLOOKUP($E167,'0. Mã Supplier'!$B:$F,5,0)</f>
        <v>60</v>
      </c>
      <c r="V167" s="53">
        <f t="shared" si="49"/>
        <v>45873</v>
      </c>
      <c r="W167" s="56">
        <f t="shared" si="54"/>
        <v>32</v>
      </c>
      <c r="X167" s="47">
        <f t="shared" si="55"/>
        <v>8</v>
      </c>
      <c r="Y167" s="47">
        <f t="shared" si="56"/>
        <v>2025</v>
      </c>
      <c r="Z167" t="s">
        <v>261</v>
      </c>
      <c r="AA167" s="45">
        <f t="shared" ca="1" si="57"/>
        <v>0</v>
      </c>
      <c r="AB167" s="1">
        <f t="shared" si="61"/>
        <v>2524500.0000000005</v>
      </c>
      <c r="AD167" s="2">
        <f t="shared" si="58"/>
        <v>0</v>
      </c>
    </row>
    <row r="168" spans="1:30">
      <c r="A168" t="s">
        <v>308</v>
      </c>
      <c r="B168" t="s">
        <v>63</v>
      </c>
      <c r="C168" t="str">
        <f>VLOOKUP(B168,'1. Master Data'!$C:$K,9,0)</f>
        <v>Phụ Kiện Everlife Tấm bảo vệ nệm chống thấm Mẫu 2, 180 x 200 cm</v>
      </c>
      <c r="D168" t="str">
        <f>VLOOKUP(E168,'0. Mã Supplier'!$B:$C,2,0)</f>
        <v>SUVN0005</v>
      </c>
      <c r="E168" t="s">
        <v>118</v>
      </c>
      <c r="F168" t="s">
        <v>293</v>
      </c>
      <c r="G168" s="1">
        <v>5</v>
      </c>
      <c r="H168" s="1">
        <v>5</v>
      </c>
      <c r="I168" s="1">
        <f>VLOOKUP($B168,'1. Master Data'!$C:$AB,26,0)</f>
        <v>522500.00000000006</v>
      </c>
      <c r="J168" s="1">
        <f t="shared" si="99"/>
        <v>2612500.0000000005</v>
      </c>
      <c r="K168" s="1">
        <f t="shared" si="100"/>
        <v>2821500.0000000005</v>
      </c>
      <c r="N168" s="24">
        <v>45807</v>
      </c>
      <c r="O168" s="54">
        <f t="shared" si="50"/>
        <v>45807</v>
      </c>
      <c r="P168">
        <f t="shared" si="101"/>
        <v>5</v>
      </c>
      <c r="Q168">
        <f t="shared" si="102"/>
        <v>2025</v>
      </c>
      <c r="R168" t="s">
        <v>291</v>
      </c>
      <c r="T168" s="43">
        <v>45813</v>
      </c>
      <c r="U168">
        <f>VLOOKUP($E168,'0. Mã Supplier'!$B:$F,5,0)</f>
        <v>60</v>
      </c>
      <c r="V168" s="53">
        <f t="shared" si="49"/>
        <v>45873</v>
      </c>
      <c r="W168" s="56">
        <f t="shared" si="54"/>
        <v>32</v>
      </c>
      <c r="X168" s="47">
        <f t="shared" si="55"/>
        <v>8</v>
      </c>
      <c r="Y168" s="47">
        <f t="shared" si="56"/>
        <v>2025</v>
      </c>
      <c r="Z168" t="s">
        <v>261</v>
      </c>
      <c r="AA168" s="45">
        <f t="shared" ca="1" si="57"/>
        <v>0</v>
      </c>
      <c r="AB168" s="1">
        <f t="shared" si="61"/>
        <v>2821500.0000000005</v>
      </c>
      <c r="AD168" s="2">
        <f t="shared" si="58"/>
        <v>0</v>
      </c>
    </row>
    <row r="169" spans="1:30">
      <c r="A169" t="s">
        <v>308</v>
      </c>
      <c r="B169" t="s">
        <v>64</v>
      </c>
      <c r="C169" t="str">
        <f>VLOOKUP(B169,'1. Master Data'!$C:$K,9,0)</f>
        <v>Phụ Kiện Everlife Tấm bảo vệ nệm chống thấm Mẫu 3, 120 x 200 cm</v>
      </c>
      <c r="D169" t="str">
        <f>VLOOKUP(E169,'0. Mã Supplier'!$B:$C,2,0)</f>
        <v>SUVN0005</v>
      </c>
      <c r="E169" t="s">
        <v>118</v>
      </c>
      <c r="F169" t="s">
        <v>293</v>
      </c>
      <c r="G169" s="1">
        <v>2</v>
      </c>
      <c r="H169" s="1">
        <v>2</v>
      </c>
      <c r="I169" s="1">
        <f>VLOOKUP($B169,'1. Master Data'!$C:$AB,26,0)</f>
        <v>396000.00000000006</v>
      </c>
      <c r="J169" s="1">
        <f t="shared" si="99"/>
        <v>792000.00000000012</v>
      </c>
      <c r="K169" s="1">
        <f t="shared" si="100"/>
        <v>855360.00000000023</v>
      </c>
      <c r="N169" s="24">
        <v>45807</v>
      </c>
      <c r="O169" s="54">
        <f t="shared" si="50"/>
        <v>45807</v>
      </c>
      <c r="P169">
        <f t="shared" si="101"/>
        <v>5</v>
      </c>
      <c r="Q169">
        <f t="shared" si="102"/>
        <v>2025</v>
      </c>
      <c r="R169" t="s">
        <v>291</v>
      </c>
      <c r="T169" s="43">
        <v>45813</v>
      </c>
      <c r="U169">
        <f>VLOOKUP($E169,'0. Mã Supplier'!$B:$F,5,0)</f>
        <v>60</v>
      </c>
      <c r="V169" s="53">
        <f t="shared" si="49"/>
        <v>45873</v>
      </c>
      <c r="W169" s="56">
        <f t="shared" si="54"/>
        <v>32</v>
      </c>
      <c r="X169" s="47">
        <f t="shared" si="55"/>
        <v>8</v>
      </c>
      <c r="Y169" s="47">
        <f t="shared" si="56"/>
        <v>2025</v>
      </c>
      <c r="Z169" t="s">
        <v>261</v>
      </c>
      <c r="AA169" s="45">
        <f t="shared" ca="1" si="57"/>
        <v>0</v>
      </c>
      <c r="AB169" s="1">
        <f t="shared" ref="AB169:AB183" si="103">IF(Z169="Yes",K169)</f>
        <v>855360.00000000023</v>
      </c>
      <c r="AD169" s="2">
        <f t="shared" si="58"/>
        <v>0</v>
      </c>
    </row>
    <row r="170" spans="1:30">
      <c r="A170" t="s">
        <v>308</v>
      </c>
      <c r="B170" t="s">
        <v>65</v>
      </c>
      <c r="C170" t="str">
        <f>VLOOKUP(B170,'1. Master Data'!$C:$K,9,0)</f>
        <v>Phụ Kiện Everlife Tấm bảo vệ nệm chống thấm Mẫu 3, 160 x 200 cm</v>
      </c>
      <c r="D170" t="str">
        <f>VLOOKUP(E170,'0. Mã Supplier'!$B:$C,2,0)</f>
        <v>SUVN0005</v>
      </c>
      <c r="E170" t="s">
        <v>118</v>
      </c>
      <c r="F170" t="s">
        <v>293</v>
      </c>
      <c r="G170" s="1">
        <v>5</v>
      </c>
      <c r="H170" s="1">
        <v>5</v>
      </c>
      <c r="I170" s="1">
        <f>VLOOKUP($B170,'1. Master Data'!$C:$AB,26,0)</f>
        <v>467500.00000000006</v>
      </c>
      <c r="J170" s="1">
        <f t="shared" si="99"/>
        <v>2337500.0000000005</v>
      </c>
      <c r="K170" s="1">
        <f t="shared" si="100"/>
        <v>2524500.0000000005</v>
      </c>
      <c r="N170" s="24">
        <v>45807</v>
      </c>
      <c r="O170" s="54">
        <f t="shared" si="50"/>
        <v>45807</v>
      </c>
      <c r="P170">
        <f t="shared" si="101"/>
        <v>5</v>
      </c>
      <c r="Q170">
        <f t="shared" si="102"/>
        <v>2025</v>
      </c>
      <c r="R170" t="s">
        <v>291</v>
      </c>
      <c r="T170" s="43">
        <v>45813</v>
      </c>
      <c r="U170">
        <f>VLOOKUP($E170,'0. Mã Supplier'!$B:$F,5,0)</f>
        <v>60</v>
      </c>
      <c r="V170" s="53">
        <f t="shared" si="49"/>
        <v>45873</v>
      </c>
      <c r="W170" s="56">
        <f t="shared" si="54"/>
        <v>32</v>
      </c>
      <c r="X170" s="47">
        <f t="shared" si="55"/>
        <v>8</v>
      </c>
      <c r="Y170" s="47">
        <f t="shared" si="56"/>
        <v>2025</v>
      </c>
      <c r="Z170" t="s">
        <v>261</v>
      </c>
      <c r="AA170" s="45">
        <f t="shared" ca="1" si="57"/>
        <v>0</v>
      </c>
      <c r="AB170" s="1">
        <f t="shared" si="103"/>
        <v>2524500.0000000005</v>
      </c>
      <c r="AD170" s="2">
        <f t="shared" si="58"/>
        <v>0</v>
      </c>
    </row>
    <row r="171" spans="1:30">
      <c r="A171" t="s">
        <v>308</v>
      </c>
      <c r="B171" t="s">
        <v>66</v>
      </c>
      <c r="C171" t="str">
        <f>VLOOKUP(B171,'1. Master Data'!$C:$K,9,0)</f>
        <v>Phụ Kiện Everlife Tấm bảo vệ nệm chống thấm Mẫu 3, 180 x 200 cm</v>
      </c>
      <c r="D171" t="str">
        <f>VLOOKUP(E171,'0. Mã Supplier'!$B:$C,2,0)</f>
        <v>SUVN0005</v>
      </c>
      <c r="E171" t="s">
        <v>118</v>
      </c>
      <c r="F171" t="s">
        <v>293</v>
      </c>
      <c r="G171" s="1">
        <v>5</v>
      </c>
      <c r="H171" s="1">
        <v>5</v>
      </c>
      <c r="I171" s="1">
        <f>VLOOKUP($B171,'1. Master Data'!$C:$AB,26,0)</f>
        <v>522500.00000000006</v>
      </c>
      <c r="J171" s="1">
        <f t="shared" si="99"/>
        <v>2612500.0000000005</v>
      </c>
      <c r="K171" s="1">
        <f t="shared" si="100"/>
        <v>2821500.0000000005</v>
      </c>
      <c r="N171" s="24">
        <v>45807</v>
      </c>
      <c r="O171" s="54">
        <f t="shared" si="50"/>
        <v>45807</v>
      </c>
      <c r="P171">
        <f t="shared" si="101"/>
        <v>5</v>
      </c>
      <c r="Q171">
        <f t="shared" si="102"/>
        <v>2025</v>
      </c>
      <c r="R171" t="s">
        <v>291</v>
      </c>
      <c r="T171" s="43">
        <v>45813</v>
      </c>
      <c r="U171">
        <f>VLOOKUP($E171,'0. Mã Supplier'!$B:$F,5,0)</f>
        <v>60</v>
      </c>
      <c r="V171" s="53">
        <f t="shared" si="49"/>
        <v>45873</v>
      </c>
      <c r="W171" s="56">
        <f t="shared" si="54"/>
        <v>32</v>
      </c>
      <c r="X171" s="47">
        <f t="shared" si="55"/>
        <v>8</v>
      </c>
      <c r="Y171" s="47">
        <f t="shared" si="56"/>
        <v>2025</v>
      </c>
      <c r="Z171" t="s">
        <v>261</v>
      </c>
      <c r="AA171" s="45">
        <f t="shared" ca="1" si="57"/>
        <v>0</v>
      </c>
      <c r="AB171" s="1">
        <f t="shared" si="103"/>
        <v>2821500.0000000005</v>
      </c>
      <c r="AD171" s="2">
        <f t="shared" si="58"/>
        <v>0</v>
      </c>
    </row>
    <row r="172" spans="1:30">
      <c r="A172" t="s">
        <v>309</v>
      </c>
      <c r="B172" t="s">
        <v>72</v>
      </c>
      <c r="C172" t="str">
        <f>VLOOKUP(B172,'1. Master Data'!$C:$K,9,0)</f>
        <v>Chăn Lạnh 3.5 Xanh dương pastel 200 x 230 cm, Microfiber mát lạnh</v>
      </c>
      <c r="D172" t="str">
        <f>VLOOKUP(E172,'0. Mã Supplier'!$B:$C,2,0)</f>
        <v>SUVN0005</v>
      </c>
      <c r="E172" t="s">
        <v>118</v>
      </c>
      <c r="F172" t="s">
        <v>293</v>
      </c>
      <c r="G172">
        <v>60</v>
      </c>
      <c r="H172" s="1">
        <v>60</v>
      </c>
      <c r="I172" s="1">
        <f>VLOOKUP($B172,'1. Master Data'!$C:$AB,26,0)</f>
        <v>200000</v>
      </c>
      <c r="J172" s="1">
        <f t="shared" ref="J172:J181" si="104">I172*H172</f>
        <v>12000000</v>
      </c>
      <c r="K172" s="1">
        <f t="shared" si="60"/>
        <v>12960000</v>
      </c>
      <c r="M172" s="24">
        <v>45887</v>
      </c>
      <c r="N172" s="24">
        <v>45889</v>
      </c>
      <c r="O172" s="54">
        <f t="shared" si="50"/>
        <v>45889</v>
      </c>
      <c r="P172">
        <f t="shared" ref="P172:P175" si="105">MONTH(N172)</f>
        <v>8</v>
      </c>
      <c r="Q172">
        <f t="shared" ref="Q172:Q175" si="106">YEAR(N172)</f>
        <v>2025</v>
      </c>
      <c r="R172" t="s">
        <v>291</v>
      </c>
      <c r="T172" s="43">
        <f t="shared" ref="T172:T175" si="107">N172</f>
        <v>45889</v>
      </c>
      <c r="U172">
        <f>VLOOKUP($E172,'0. Mã Supplier'!$B:$F,5,0)</f>
        <v>60</v>
      </c>
      <c r="V172" s="53">
        <f t="shared" si="49"/>
        <v>45949</v>
      </c>
      <c r="W172" s="56">
        <f t="shared" si="54"/>
        <v>43</v>
      </c>
      <c r="X172" s="47">
        <f t="shared" si="55"/>
        <v>10</v>
      </c>
      <c r="Y172" s="47">
        <f t="shared" si="56"/>
        <v>2025</v>
      </c>
      <c r="AA172" s="45">
        <f t="shared" ca="1" si="57"/>
        <v>315</v>
      </c>
      <c r="AB172" s="1">
        <v>15000000</v>
      </c>
      <c r="AD172" s="2">
        <f>IFERROR(K172-AB172,0)</f>
        <v>-2040000</v>
      </c>
    </row>
    <row r="173" spans="1:30">
      <c r="A173" t="s">
        <v>309</v>
      </c>
      <c r="B173" t="s">
        <v>73</v>
      </c>
      <c r="C173" t="str">
        <f>VLOOKUP(B173,'1. Master Data'!$C:$K,9,0)</f>
        <v>Chăn Lạnh 3.5 Xám pastel 200 x 230 cm, Microfiber mát lạnh</v>
      </c>
      <c r="D173" t="str">
        <f>VLOOKUP(E173,'0. Mã Supplier'!$B:$C,2,0)</f>
        <v>SUVN0005</v>
      </c>
      <c r="E173" t="s">
        <v>118</v>
      </c>
      <c r="F173" t="s">
        <v>293</v>
      </c>
      <c r="G173">
        <v>80</v>
      </c>
      <c r="H173" s="1">
        <v>80</v>
      </c>
      <c r="I173" s="1">
        <f>VLOOKUP($B173,'1. Master Data'!$C:$AB,26,0)</f>
        <v>200000</v>
      </c>
      <c r="J173" s="1">
        <f t="shared" si="104"/>
        <v>16000000</v>
      </c>
      <c r="K173" s="1">
        <f t="shared" si="60"/>
        <v>17280000</v>
      </c>
      <c r="M173" s="24">
        <v>45887</v>
      </c>
      <c r="N173" s="24">
        <v>45889</v>
      </c>
      <c r="O173" s="54">
        <f t="shared" si="50"/>
        <v>45889</v>
      </c>
      <c r="P173">
        <f t="shared" si="105"/>
        <v>8</v>
      </c>
      <c r="Q173">
        <f t="shared" si="106"/>
        <v>2025</v>
      </c>
      <c r="R173" t="s">
        <v>291</v>
      </c>
      <c r="T173" s="43">
        <f t="shared" si="107"/>
        <v>45889</v>
      </c>
      <c r="U173">
        <f>VLOOKUP($E173,'0. Mã Supplier'!$B:$F,5,0)</f>
        <v>60</v>
      </c>
      <c r="V173" s="53">
        <f t="shared" si="49"/>
        <v>45949</v>
      </c>
      <c r="W173" s="56">
        <f t="shared" si="54"/>
        <v>43</v>
      </c>
      <c r="X173" s="47">
        <f t="shared" si="55"/>
        <v>10</v>
      </c>
      <c r="Y173" s="47">
        <f t="shared" si="56"/>
        <v>2025</v>
      </c>
      <c r="AA173" s="45">
        <f t="shared" ca="1" si="57"/>
        <v>315</v>
      </c>
      <c r="AB173" s="1">
        <v>15000000</v>
      </c>
      <c r="AD173" s="2">
        <f t="shared" si="58"/>
        <v>2280000</v>
      </c>
    </row>
    <row r="174" spans="1:30">
      <c r="A174" t="s">
        <v>309</v>
      </c>
      <c r="B174" t="s">
        <v>74</v>
      </c>
      <c r="C174" t="str">
        <f>VLOOKUP(B174,'1. Master Data'!$C:$K,9,0)</f>
        <v>Chăn Lạnh 3.5 Tím hoa cà 200 x 230 cm, Microfiber mát lạnh</v>
      </c>
      <c r="D174" t="str">
        <f>VLOOKUP(E174,'0. Mã Supplier'!$B:$C,2,0)</f>
        <v>SUVN0005</v>
      </c>
      <c r="E174" t="s">
        <v>118</v>
      </c>
      <c r="F174" t="s">
        <v>293</v>
      </c>
      <c r="G174">
        <v>20</v>
      </c>
      <c r="H174" s="1">
        <v>20</v>
      </c>
      <c r="I174" s="1">
        <f>VLOOKUP($B174,'1. Master Data'!$C:$AB,26,0)</f>
        <v>200000</v>
      </c>
      <c r="J174" s="1">
        <f t="shared" si="104"/>
        <v>4000000</v>
      </c>
      <c r="K174" s="1">
        <f t="shared" si="60"/>
        <v>4320000</v>
      </c>
      <c r="M174" s="24">
        <v>45887</v>
      </c>
      <c r="N174" s="24">
        <v>45889</v>
      </c>
      <c r="O174" s="54">
        <f t="shared" si="50"/>
        <v>45889</v>
      </c>
      <c r="P174">
        <f t="shared" si="105"/>
        <v>8</v>
      </c>
      <c r="Q174">
        <f t="shared" si="106"/>
        <v>2025</v>
      </c>
      <c r="R174" t="s">
        <v>291</v>
      </c>
      <c r="T174" s="43">
        <f t="shared" si="107"/>
        <v>45889</v>
      </c>
      <c r="U174">
        <f>VLOOKUP($E174,'0. Mã Supplier'!$B:$F,5,0)</f>
        <v>60</v>
      </c>
      <c r="V174" s="53">
        <f t="shared" si="49"/>
        <v>45949</v>
      </c>
      <c r="W174" s="56">
        <f t="shared" si="54"/>
        <v>43</v>
      </c>
      <c r="X174" s="47">
        <f t="shared" si="55"/>
        <v>10</v>
      </c>
      <c r="Y174" s="47">
        <f t="shared" si="56"/>
        <v>2025</v>
      </c>
      <c r="AA174" s="45">
        <f t="shared" ca="1" si="57"/>
        <v>315</v>
      </c>
      <c r="AB174" s="1">
        <v>15000000</v>
      </c>
      <c r="AD174" s="2">
        <f t="shared" si="58"/>
        <v>-10680000</v>
      </c>
    </row>
    <row r="175" spans="1:30">
      <c r="A175" t="s">
        <v>309</v>
      </c>
      <c r="B175" t="s">
        <v>75</v>
      </c>
      <c r="C175" t="str">
        <f>VLOOKUP(B175,'1. Master Data'!$C:$K,9,0)</f>
        <v>Chăn Lạnh 3.5 Xanh lá pastel 200 x 230 cm, Microfiber mát lạnh</v>
      </c>
      <c r="D175" t="str">
        <f>VLOOKUP(E175,'0. Mã Supplier'!$B:$C,2,0)</f>
        <v>SUVN0005</v>
      </c>
      <c r="E175" t="s">
        <v>118</v>
      </c>
      <c r="F175" t="s">
        <v>293</v>
      </c>
      <c r="G175">
        <v>30</v>
      </c>
      <c r="H175" s="1">
        <v>30</v>
      </c>
      <c r="I175" s="1">
        <f>VLOOKUP($B175,'1. Master Data'!$C:$AB,26,0)</f>
        <v>200000</v>
      </c>
      <c r="J175" s="1">
        <f t="shared" si="104"/>
        <v>6000000</v>
      </c>
      <c r="K175" s="1">
        <f t="shared" si="60"/>
        <v>6480000</v>
      </c>
      <c r="M175" s="24">
        <v>45887</v>
      </c>
      <c r="N175" s="24">
        <v>45889</v>
      </c>
      <c r="O175" s="54">
        <f t="shared" si="50"/>
        <v>45889</v>
      </c>
      <c r="P175">
        <f t="shared" si="105"/>
        <v>8</v>
      </c>
      <c r="Q175">
        <f t="shared" si="106"/>
        <v>2025</v>
      </c>
      <c r="R175" t="s">
        <v>291</v>
      </c>
      <c r="T175" s="43">
        <f t="shared" si="107"/>
        <v>45889</v>
      </c>
      <c r="U175">
        <f>VLOOKUP($E175,'0. Mã Supplier'!$B:$F,5,0)</f>
        <v>60</v>
      </c>
      <c r="V175" s="53">
        <f t="shared" si="49"/>
        <v>45949</v>
      </c>
      <c r="W175" s="56">
        <f t="shared" si="54"/>
        <v>43</v>
      </c>
      <c r="X175" s="47">
        <f t="shared" si="55"/>
        <v>10</v>
      </c>
      <c r="Y175" s="47">
        <f t="shared" si="56"/>
        <v>2025</v>
      </c>
      <c r="AA175" s="45">
        <f t="shared" ca="1" si="57"/>
        <v>315</v>
      </c>
      <c r="AB175" s="1">
        <v>10000000</v>
      </c>
      <c r="AD175" s="2">
        <f t="shared" si="58"/>
        <v>-3520000</v>
      </c>
    </row>
    <row r="176" spans="1:30">
      <c r="A176" t="s">
        <v>309</v>
      </c>
      <c r="B176" t="s">
        <v>76</v>
      </c>
      <c r="C176" t="str">
        <f>VLOOKUP(B176,'1. Master Data'!$C:$K,9,0)</f>
        <v>Chăn Lạnh 3.5 Xanh dương xám 200 x 230 cm, Microfiber mát lạnh</v>
      </c>
      <c r="D176" t="str">
        <f>VLOOKUP(E176,'0. Mã Supplier'!$B:$C,2,0)</f>
        <v>SUVN0005</v>
      </c>
      <c r="E176" t="s">
        <v>118</v>
      </c>
      <c r="F176" t="s">
        <v>293</v>
      </c>
      <c r="G176">
        <v>60</v>
      </c>
      <c r="H176" s="1">
        <v>60</v>
      </c>
      <c r="I176" s="1">
        <f>VLOOKUP($B176,'1. Master Data'!$C:$AB,26,0)</f>
        <v>200000</v>
      </c>
      <c r="J176" s="1">
        <f t="shared" si="104"/>
        <v>12000000</v>
      </c>
      <c r="K176" s="1">
        <f t="shared" si="60"/>
        <v>12960000</v>
      </c>
      <c r="M176" s="24">
        <v>45887</v>
      </c>
      <c r="N176" s="24">
        <v>45889</v>
      </c>
      <c r="O176" s="54">
        <f t="shared" si="50"/>
        <v>45889</v>
      </c>
      <c r="P176">
        <f t="shared" ref="P176:P183" si="108">MONTH(N176)</f>
        <v>8</v>
      </c>
      <c r="Q176">
        <f t="shared" ref="Q176:Q183" si="109">YEAR(N176)</f>
        <v>2025</v>
      </c>
      <c r="R176" t="s">
        <v>291</v>
      </c>
      <c r="T176" s="43">
        <f t="shared" ref="T176:T181" si="110">N176</f>
        <v>45889</v>
      </c>
      <c r="U176">
        <f>VLOOKUP($E176,'0. Mã Supplier'!$B:$F,5,0)</f>
        <v>60</v>
      </c>
      <c r="V176" s="53">
        <f t="shared" si="49"/>
        <v>45949</v>
      </c>
      <c r="W176" s="56">
        <f t="shared" si="54"/>
        <v>43</v>
      </c>
      <c r="X176" s="47">
        <f t="shared" si="55"/>
        <v>10</v>
      </c>
      <c r="Y176" s="47">
        <f t="shared" si="56"/>
        <v>2025</v>
      </c>
      <c r="AA176" s="45">
        <f t="shared" ca="1" si="57"/>
        <v>315</v>
      </c>
      <c r="AB176" s="1">
        <v>10000000</v>
      </c>
      <c r="AD176" s="2">
        <f t="shared" si="58"/>
        <v>2960000</v>
      </c>
    </row>
    <row r="177" spans="1:30">
      <c r="A177" t="s">
        <v>310</v>
      </c>
      <c r="B177" t="s">
        <v>67</v>
      </c>
      <c r="C177" t="str">
        <f>VLOOKUP(B177,'1. Master Data'!$C:$K,9,0)</f>
        <v>Chăn Lạnh 4.8 Xanh dương pastel 200 x 230 cm, Vải cooling mát lạnh</v>
      </c>
      <c r="D177" t="str">
        <f>VLOOKUP(E177,'0. Mã Supplier'!$B:$C,2,0)</f>
        <v>SUVN0005</v>
      </c>
      <c r="E177" t="s">
        <v>118</v>
      </c>
      <c r="F177" t="s">
        <v>290</v>
      </c>
      <c r="G177">
        <v>120</v>
      </c>
      <c r="H177" s="1">
        <v>113</v>
      </c>
      <c r="I177" s="1">
        <f>VLOOKUP($B177,'1. Master Data'!$C:$AB,26,0)</f>
        <v>280000</v>
      </c>
      <c r="J177" s="1">
        <f t="shared" si="104"/>
        <v>31640000</v>
      </c>
      <c r="K177" s="1">
        <f>J177*1.08</f>
        <v>34171200</v>
      </c>
      <c r="N177" s="24">
        <v>45924</v>
      </c>
      <c r="O177" s="54">
        <f>N177-L177</f>
        <v>45924</v>
      </c>
      <c r="P177">
        <f>MONTH(N177)</f>
        <v>9</v>
      </c>
      <c r="Q177">
        <f>YEAR(N177)</f>
        <v>2025</v>
      </c>
      <c r="R177" t="s">
        <v>291</v>
      </c>
      <c r="T177" s="43">
        <f t="shared" si="110"/>
        <v>45924</v>
      </c>
      <c r="U177">
        <f>VLOOKUP($E177,'0. Mã Supplier'!$B:$F,5,0)</f>
        <v>60</v>
      </c>
      <c r="V177" s="53">
        <f>T177+U177</f>
        <v>45984</v>
      </c>
      <c r="W177" s="56">
        <f>WEEKNUM(V177)</f>
        <v>48</v>
      </c>
      <c r="X177" s="47">
        <f t="shared" ref="X177:X183" si="111">IF(V177&lt;&gt;0,MONTH(V177),"")</f>
        <v>11</v>
      </c>
      <c r="Y177" s="47">
        <f>YEAR(V177)</f>
        <v>2025</v>
      </c>
      <c r="AA177" s="45">
        <f ca="1">IF(Z177="yes",0,TODAY()-V177)</f>
        <v>280</v>
      </c>
      <c r="AB177" s="1" t="b">
        <f>IF(Z177="Yes",K177)</f>
        <v>0</v>
      </c>
      <c r="AD177" s="2">
        <f t="shared" si="58"/>
        <v>34171200</v>
      </c>
    </row>
    <row r="178" spans="1:30">
      <c r="A178" t="s">
        <v>310</v>
      </c>
      <c r="B178" t="s">
        <v>68</v>
      </c>
      <c r="C178" t="str">
        <f>VLOOKUP(B178,'1. Master Data'!$C:$K,9,0)</f>
        <v>Chăn Lạnh 4.8 Xám pastel 200 x 230 cm, Vải cooling mát lạnh</v>
      </c>
      <c r="D178" t="str">
        <f>VLOOKUP(E178,'0. Mã Supplier'!$B:$C,2,0)</f>
        <v>SUVN0005</v>
      </c>
      <c r="E178" t="s">
        <v>118</v>
      </c>
      <c r="F178" t="s">
        <v>290</v>
      </c>
      <c r="G178">
        <v>160</v>
      </c>
      <c r="H178" s="1">
        <v>180</v>
      </c>
      <c r="I178" s="1">
        <f>VLOOKUP($B178,'1. Master Data'!$C:$AB,26,0)</f>
        <v>280000</v>
      </c>
      <c r="J178" s="1">
        <f t="shared" si="104"/>
        <v>50400000</v>
      </c>
      <c r="K178" s="1">
        <f>J178*1.08</f>
        <v>54432000</v>
      </c>
      <c r="N178" s="24">
        <v>45924</v>
      </c>
      <c r="O178" s="54">
        <f>N178-L178</f>
        <v>45924</v>
      </c>
      <c r="P178">
        <f>MONTH(N178)</f>
        <v>9</v>
      </c>
      <c r="Q178">
        <f>YEAR(N178)</f>
        <v>2025</v>
      </c>
      <c r="R178" t="s">
        <v>291</v>
      </c>
      <c r="T178" s="43">
        <f t="shared" si="110"/>
        <v>45924</v>
      </c>
      <c r="U178">
        <f>VLOOKUP($E178,'0. Mã Supplier'!$B:$F,5,0)</f>
        <v>60</v>
      </c>
      <c r="V178" s="53">
        <f>T178+U178</f>
        <v>45984</v>
      </c>
      <c r="W178" s="56">
        <f>WEEKNUM(V178)</f>
        <v>48</v>
      </c>
      <c r="X178" s="47">
        <f t="shared" si="111"/>
        <v>11</v>
      </c>
      <c r="Y178" s="47">
        <f>YEAR(V178)</f>
        <v>2025</v>
      </c>
      <c r="AA178" s="45">
        <f ca="1">IF(Z178="yes",0,TODAY()-V178)</f>
        <v>280</v>
      </c>
      <c r="AB178" s="1" t="b">
        <f>IF(Z178="Yes",K178)</f>
        <v>0</v>
      </c>
      <c r="AD178" s="2">
        <f t="shared" si="58"/>
        <v>54432000</v>
      </c>
    </row>
    <row r="179" spans="1:30">
      <c r="A179" t="s">
        <v>310</v>
      </c>
      <c r="B179" t="s">
        <v>69</v>
      </c>
      <c r="C179" t="str">
        <f>VLOOKUP(B179,'1. Master Data'!$C:$K,9,0)</f>
        <v>Chăn Lạnh 4.8 Tím hoa cà 200 x 230 cm, Vải cooling mát lạnh</v>
      </c>
      <c r="D179" t="str">
        <f>VLOOKUP(E179,'0. Mã Supplier'!$B:$C,2,0)</f>
        <v>SUVN0005</v>
      </c>
      <c r="E179" t="s">
        <v>118</v>
      </c>
      <c r="F179" t="s">
        <v>290</v>
      </c>
      <c r="G179">
        <v>40</v>
      </c>
      <c r="H179" s="1">
        <v>53</v>
      </c>
      <c r="I179" s="1">
        <f>VLOOKUP($B179,'1. Master Data'!$C:$AB,26,0)</f>
        <v>280000</v>
      </c>
      <c r="J179" s="1">
        <f t="shared" si="104"/>
        <v>14840000</v>
      </c>
      <c r="K179" s="1">
        <f>J179*1.08</f>
        <v>16027200.000000002</v>
      </c>
      <c r="N179" s="24">
        <v>45924</v>
      </c>
      <c r="O179" s="54">
        <f>N179-L179</f>
        <v>45924</v>
      </c>
      <c r="P179">
        <f>MONTH(N179)</f>
        <v>9</v>
      </c>
      <c r="Q179">
        <f>YEAR(N179)</f>
        <v>2025</v>
      </c>
      <c r="R179" t="s">
        <v>291</v>
      </c>
      <c r="T179" s="43">
        <f t="shared" si="110"/>
        <v>45924</v>
      </c>
      <c r="U179">
        <f>VLOOKUP($E179,'0. Mã Supplier'!$B:$F,5,0)</f>
        <v>60</v>
      </c>
      <c r="V179" s="53">
        <f>T179+U179</f>
        <v>45984</v>
      </c>
      <c r="W179" s="56">
        <f>WEEKNUM(V179)</f>
        <v>48</v>
      </c>
      <c r="X179" s="47">
        <f t="shared" si="111"/>
        <v>11</v>
      </c>
      <c r="Y179" s="47">
        <f>YEAR(V179)</f>
        <v>2025</v>
      </c>
      <c r="AA179" s="45">
        <f ca="1">IF(Z179="yes",0,TODAY()-V179)</f>
        <v>280</v>
      </c>
      <c r="AB179" s="1" t="b">
        <f>IF(Z179="Yes",K179)</f>
        <v>0</v>
      </c>
      <c r="AD179" s="2">
        <f t="shared" si="58"/>
        <v>16027200.000000002</v>
      </c>
    </row>
    <row r="180" spans="1:30">
      <c r="A180" t="s">
        <v>310</v>
      </c>
      <c r="B180" t="s">
        <v>70</v>
      </c>
      <c r="C180" t="str">
        <f>VLOOKUP(B180,'1. Master Data'!$C:$K,9,0)</f>
        <v>Chăn Lạnh 4.8 Xanh lá pastel 200 x 230 cm, Vải cooling mát lạnh</v>
      </c>
      <c r="D180" t="str">
        <f>VLOOKUP(E180,'0. Mã Supplier'!$B:$C,2,0)</f>
        <v>SUVN0005</v>
      </c>
      <c r="E180" t="s">
        <v>118</v>
      </c>
      <c r="F180" t="s">
        <v>290</v>
      </c>
      <c r="G180">
        <v>60</v>
      </c>
      <c r="H180" s="1">
        <v>41</v>
      </c>
      <c r="I180" s="1">
        <f>VLOOKUP($B180,'1. Master Data'!$C:$AB,26,0)</f>
        <v>280000</v>
      </c>
      <c r="J180" s="1">
        <f t="shared" si="104"/>
        <v>11480000</v>
      </c>
      <c r="K180" s="1">
        <f>J180*1.08</f>
        <v>12398400</v>
      </c>
      <c r="N180" s="24">
        <v>45924</v>
      </c>
      <c r="O180" s="54">
        <f>N180-L180</f>
        <v>45924</v>
      </c>
      <c r="P180">
        <f>MONTH(N180)</f>
        <v>9</v>
      </c>
      <c r="Q180">
        <f>YEAR(N180)</f>
        <v>2025</v>
      </c>
      <c r="R180" t="s">
        <v>291</v>
      </c>
      <c r="T180" s="43">
        <f t="shared" si="110"/>
        <v>45924</v>
      </c>
      <c r="U180">
        <f>VLOOKUP($E180,'0. Mã Supplier'!$B:$F,5,0)</f>
        <v>60</v>
      </c>
      <c r="V180" s="53">
        <f>T180+U180</f>
        <v>45984</v>
      </c>
      <c r="W180" s="56">
        <f>WEEKNUM(V180)</f>
        <v>48</v>
      </c>
      <c r="X180" s="47">
        <f t="shared" si="111"/>
        <v>11</v>
      </c>
      <c r="Y180" s="47">
        <f>YEAR(V180)</f>
        <v>2025</v>
      </c>
      <c r="AA180" s="45">
        <f ca="1">IF(Z180="yes",0,TODAY()-V180)</f>
        <v>280</v>
      </c>
      <c r="AB180" s="1" t="b">
        <f>IF(Z180="Yes",K180)</f>
        <v>0</v>
      </c>
      <c r="AD180" s="2">
        <f t="shared" si="58"/>
        <v>12398400</v>
      </c>
    </row>
    <row r="181" spans="1:30">
      <c r="A181" t="s">
        <v>310</v>
      </c>
      <c r="B181" t="s">
        <v>71</v>
      </c>
      <c r="C181" t="str">
        <f>VLOOKUP(B181,'1. Master Data'!$C:$K,9,0)</f>
        <v>Chăn Lạnh 4.8 Xanh dương xám 200 x 230 cm, Vải cooling mát lạnh</v>
      </c>
      <c r="D181" t="str">
        <f>VLOOKUP(E181,'0. Mã Supplier'!$B:$C,2,0)</f>
        <v>SUVN0005</v>
      </c>
      <c r="E181" t="s">
        <v>118</v>
      </c>
      <c r="F181" t="s">
        <v>290</v>
      </c>
      <c r="G181">
        <v>120</v>
      </c>
      <c r="H181" s="1">
        <v>138</v>
      </c>
      <c r="I181" s="1">
        <f>VLOOKUP($B181,'1. Master Data'!$C:$AB,26,0)</f>
        <v>280000</v>
      </c>
      <c r="J181" s="1">
        <f t="shared" si="104"/>
        <v>38640000</v>
      </c>
      <c r="K181" s="1">
        <f>J181*1.08</f>
        <v>41731200</v>
      </c>
      <c r="N181" s="24">
        <v>45924</v>
      </c>
      <c r="O181" s="54">
        <f>N181-L181</f>
        <v>45924</v>
      </c>
      <c r="P181">
        <f>MONTH(N181)</f>
        <v>9</v>
      </c>
      <c r="Q181">
        <f>YEAR(N181)</f>
        <v>2025</v>
      </c>
      <c r="R181" t="s">
        <v>291</v>
      </c>
      <c r="T181" s="43">
        <f t="shared" si="110"/>
        <v>45924</v>
      </c>
      <c r="U181">
        <f>VLOOKUP($E181,'0. Mã Supplier'!$B:$F,5,0)</f>
        <v>60</v>
      </c>
      <c r="V181" s="53">
        <f>T181+U181</f>
        <v>45984</v>
      </c>
      <c r="W181" s="56">
        <f>WEEKNUM(V181)</f>
        <v>48</v>
      </c>
      <c r="X181" s="47">
        <f t="shared" si="111"/>
        <v>11</v>
      </c>
      <c r="Y181" s="47">
        <f>YEAR(V181)</f>
        <v>2025</v>
      </c>
      <c r="AA181" s="45">
        <f ca="1">IF(Z181="yes",0,TODAY()-V181)</f>
        <v>280</v>
      </c>
      <c r="AB181" s="1" t="b">
        <f>IF(Z181="Yes",K181)</f>
        <v>0</v>
      </c>
      <c r="AD181" s="2">
        <f t="shared" si="58"/>
        <v>41731200</v>
      </c>
    </row>
    <row r="182" spans="1:30" s="58" customFormat="1">
      <c r="A182" s="58" t="s">
        <v>311</v>
      </c>
      <c r="B182" s="58" t="s">
        <v>41</v>
      </c>
      <c r="C182" t="str">
        <f>VLOOKUP(B182,'1. Master Data'!$C:$K,9,0)</f>
        <v>Gối T&amp;N contour (Mềm) 30 x 50 x 8/10 cm</v>
      </c>
      <c r="D182" s="58" t="s">
        <v>112</v>
      </c>
      <c r="E182" s="58" t="s">
        <v>111</v>
      </c>
      <c r="F182" s="58" t="s">
        <v>290</v>
      </c>
      <c r="G182" s="58">
        <v>50</v>
      </c>
      <c r="H182" s="58">
        <v>50</v>
      </c>
      <c r="I182" s="1">
        <f>VLOOKUP($B182,'1. Master Data'!$C:$AB,26,0)</f>
        <v>139000</v>
      </c>
      <c r="J182" s="59">
        <f t="shared" si="68"/>
        <v>6950000</v>
      </c>
      <c r="K182" s="59">
        <f t="shared" si="60"/>
        <v>7506000.0000000009</v>
      </c>
      <c r="L182" s="60">
        <v>45901</v>
      </c>
      <c r="N182" s="60">
        <v>45918</v>
      </c>
      <c r="O182" s="61">
        <v>15</v>
      </c>
      <c r="P182" s="58">
        <f t="shared" si="108"/>
        <v>9</v>
      </c>
      <c r="Q182" s="58">
        <f t="shared" si="109"/>
        <v>2025</v>
      </c>
      <c r="R182" s="58" t="s">
        <v>291</v>
      </c>
      <c r="T182" s="60">
        <f t="shared" ref="T182:T183" si="112">N182</f>
        <v>45918</v>
      </c>
      <c r="U182" s="58">
        <f>VLOOKUP($E182,'0. Mã Supplier'!$B:$F,5,0)</f>
        <v>30</v>
      </c>
      <c r="V182" s="62">
        <f t="shared" ref="V182:V183" si="113">T182+U182</f>
        <v>45948</v>
      </c>
      <c r="W182" s="63">
        <f t="shared" si="54"/>
        <v>42</v>
      </c>
      <c r="X182" s="64">
        <f t="shared" si="111"/>
        <v>10</v>
      </c>
      <c r="Y182" s="64">
        <f t="shared" si="56"/>
        <v>2025</v>
      </c>
      <c r="AA182" s="65">
        <f t="shared" ca="1" si="57"/>
        <v>316</v>
      </c>
      <c r="AB182" s="59" t="b">
        <f t="shared" si="103"/>
        <v>0</v>
      </c>
      <c r="AC182" s="71"/>
      <c r="AD182" s="2">
        <f t="shared" si="58"/>
        <v>7506000.0000000009</v>
      </c>
    </row>
    <row r="183" spans="1:30" s="58" customFormat="1">
      <c r="A183" s="58" t="s">
        <v>311</v>
      </c>
      <c r="B183" s="58" t="s">
        <v>42</v>
      </c>
      <c r="C183" t="str">
        <f>VLOOKUP(B183,'1. Master Data'!$C:$K,9,0)</f>
        <v>Gối T&amp;N contour (Mềm) 40 x 60 x 10/12 cm</v>
      </c>
      <c r="D183" s="58" t="s">
        <v>112</v>
      </c>
      <c r="E183" s="58" t="s">
        <v>111</v>
      </c>
      <c r="F183" s="58" t="s">
        <v>290</v>
      </c>
      <c r="G183" s="58">
        <v>50</v>
      </c>
      <c r="H183" s="58">
        <v>50</v>
      </c>
      <c r="I183" s="1">
        <f>VLOOKUP($B183,'1. Master Data'!$C:$AB,26,0)</f>
        <v>181000</v>
      </c>
      <c r="J183" s="59">
        <f t="shared" si="68"/>
        <v>9050000</v>
      </c>
      <c r="K183" s="59">
        <f t="shared" si="60"/>
        <v>9774000</v>
      </c>
      <c r="L183" s="60">
        <v>45901</v>
      </c>
      <c r="N183" s="60">
        <v>45918</v>
      </c>
      <c r="O183" s="61">
        <v>15</v>
      </c>
      <c r="P183" s="58">
        <f t="shared" si="108"/>
        <v>9</v>
      </c>
      <c r="Q183" s="58">
        <f t="shared" si="109"/>
        <v>2025</v>
      </c>
      <c r="R183" s="58" t="s">
        <v>291</v>
      </c>
      <c r="T183" s="60">
        <f t="shared" si="112"/>
        <v>45918</v>
      </c>
      <c r="U183" s="58">
        <f>VLOOKUP($E183,'0. Mã Supplier'!$B:$F,5,0)</f>
        <v>30</v>
      </c>
      <c r="V183" s="62">
        <f t="shared" si="113"/>
        <v>45948</v>
      </c>
      <c r="W183" s="63">
        <f t="shared" si="54"/>
        <v>42</v>
      </c>
      <c r="X183" s="64">
        <f t="shared" si="111"/>
        <v>10</v>
      </c>
      <c r="Y183" s="64">
        <f t="shared" si="56"/>
        <v>2025</v>
      </c>
      <c r="AA183" s="65">
        <f t="shared" ca="1" si="57"/>
        <v>316</v>
      </c>
      <c r="AB183" s="59" t="b">
        <f t="shared" si="103"/>
        <v>0</v>
      </c>
      <c r="AC183" s="71"/>
      <c r="AD183" s="2">
        <f t="shared" si="58"/>
        <v>9774000</v>
      </c>
    </row>
  </sheetData>
  <autoFilter ref="A1:AD183" xr:uid="{A6E8287D-CB7A-4E41-BBEA-707DEF734995}"/>
  <conditionalFormatting sqref="A1:B1">
    <cfRule type="duplicateValues" dxfId="0" priority="2"/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CFA60D-878F-4B03-BD0F-8CE6974DEBC3}">
          <x14:formula1>
            <xm:f>'0. Mã Supplier'!$B$6:$B$28</xm:f>
          </x14:formula1>
          <xm:sqref>E1:E1048576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A1850-BC42-4E72-8589-824D26D174AA}">
  <sheetPr codeName="Sheet16"/>
  <dimension ref="A1:D5"/>
  <sheetViews>
    <sheetView zoomScale="130" zoomScaleNormal="130" workbookViewId="0">
      <selection activeCell="D20" sqref="D20"/>
    </sheetView>
  </sheetViews>
  <sheetFormatPr baseColWidth="10" defaultColWidth="8.83203125" defaultRowHeight="15"/>
  <cols>
    <col min="1" max="1" width="15.6640625" style="35" customWidth="1"/>
    <col min="2" max="2" width="28.5" style="35" customWidth="1"/>
    <col min="3" max="3" width="25.1640625" style="35" customWidth="1"/>
    <col min="4" max="4" width="100.6640625" style="35" customWidth="1"/>
  </cols>
  <sheetData>
    <row r="1" spans="1:4" ht="16" thickBot="1">
      <c r="A1" s="49" t="s">
        <v>313</v>
      </c>
      <c r="B1" s="49" t="s">
        <v>312</v>
      </c>
      <c r="C1" s="49" t="s">
        <v>314</v>
      </c>
      <c r="D1" s="49" t="s">
        <v>315</v>
      </c>
    </row>
    <row r="2" spans="1:4" ht="16" thickBot="1">
      <c r="A2" s="50" t="s">
        <v>352</v>
      </c>
      <c r="B2" s="50" t="s">
        <v>317</v>
      </c>
      <c r="C2" s="50" t="s">
        <v>316</v>
      </c>
      <c r="D2" s="78" t="s">
        <v>359</v>
      </c>
    </row>
    <row r="3" spans="1:4" ht="16" thickBot="1">
      <c r="A3" s="50" t="s">
        <v>353</v>
      </c>
      <c r="B3" s="50" t="s">
        <v>356</v>
      </c>
      <c r="C3" s="50" t="s">
        <v>316</v>
      </c>
      <c r="D3" s="78" t="s">
        <v>360</v>
      </c>
    </row>
    <row r="4" spans="1:4" ht="29" thickBot="1">
      <c r="A4" s="50" t="s">
        <v>354</v>
      </c>
      <c r="B4" s="50" t="s">
        <v>355</v>
      </c>
      <c r="C4" s="50" t="s">
        <v>316</v>
      </c>
      <c r="D4" s="50" t="s">
        <v>361</v>
      </c>
    </row>
    <row r="5" spans="1:4" ht="16" thickBot="1">
      <c r="A5" s="51" t="s">
        <v>357</v>
      </c>
      <c r="B5" s="51" t="s">
        <v>358</v>
      </c>
      <c r="C5" s="51" t="s">
        <v>318</v>
      </c>
      <c r="D5" s="78" t="s">
        <v>360</v>
      </c>
    </row>
  </sheetData>
  <autoFilter ref="A1:D1" xr:uid="{B1FA1850-BC42-4E72-8589-824D26D174AA}">
    <sortState xmlns:xlrd2="http://schemas.microsoft.com/office/spreadsheetml/2017/richdata2" ref="A2:D5">
      <sortCondition ref="A1:A5"/>
    </sortState>
  </autoFilter>
  <pageMargins left="0.7" right="0.7" top="0.75" bottom="0.75" header="0.3" footer="0.3"/>
  <pageSetup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0. Mã Supplier</vt:lpstr>
      <vt:lpstr>1. Master Data</vt:lpstr>
      <vt:lpstr>4. Purchasing</vt:lpstr>
      <vt:lpstr>Mã Kho</vt:lpstr>
      <vt:lpstr>'4. Purchasing'!Print_Area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Hau Le</dc:creator>
  <cp:keywords/>
  <dc:description/>
  <cp:lastModifiedBy>Hau Le</cp:lastModifiedBy>
  <cp:revision/>
  <cp:lastPrinted>2025-12-17T02:19:28Z</cp:lastPrinted>
  <dcterms:created xsi:type="dcterms:W3CDTF">2025-07-20T14:39:28Z</dcterms:created>
  <dcterms:modified xsi:type="dcterms:W3CDTF">2026-08-30T05:20:46Z</dcterms:modified>
  <cp:category/>
  <cp:contentStatus/>
</cp:coreProperties>
</file>